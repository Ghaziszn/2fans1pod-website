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odcastermans\api data\"/>
    </mc:Choice>
  </mc:AlternateContent>
  <xr:revisionPtr revIDLastSave="0" documentId="8_{9B1D1B64-9DFB-40B5-B1FB-8FD370FC8CF2}" xr6:coauthVersionLast="47" xr6:coauthVersionMax="47" xr10:uidLastSave="{00000000-0000-0000-0000-000000000000}"/>
  <bookViews>
    <workbookView xWindow="-120" yWindow="-120" windowWidth="29040" windowHeight="15840" xr2:uid="{2A92FDDA-A9CC-40A8-A0B9-947CFDF0CD58}"/>
  </bookViews>
  <sheets>
    <sheet name="Sheet1" sheetId="1" r:id="rId1"/>
    <sheet name="Sheet2" sheetId="2" r:id="rId2"/>
  </sheets>
  <definedNames>
    <definedName name="_xlnm._FilterDatabase" localSheetId="0" hidden="1">Sheet1!$B$1:$AP$79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6" i="1"/>
  <c r="O7" i="1"/>
  <c r="O5" i="1"/>
  <c r="O3" i="1"/>
  <c r="O9" i="1"/>
  <c r="O8" i="1"/>
  <c r="O10" i="1"/>
  <c r="O11" i="1"/>
  <c r="O13" i="1"/>
  <c r="O18" i="1"/>
  <c r="O15" i="1"/>
  <c r="O16" i="1"/>
  <c r="O14" i="1"/>
  <c r="O12" i="1"/>
  <c r="O21" i="1"/>
  <c r="O17" i="1"/>
  <c r="O23" i="1"/>
  <c r="O20" i="1"/>
  <c r="O22" i="1"/>
  <c r="O24" i="1"/>
  <c r="O26" i="1"/>
  <c r="O25" i="1"/>
  <c r="O28" i="1"/>
  <c r="O19" i="1"/>
  <c r="O27" i="1"/>
  <c r="O29" i="1"/>
  <c r="O33" i="1"/>
  <c r="O31" i="1"/>
  <c r="O32" i="1"/>
  <c r="O35" i="1"/>
  <c r="O36" i="1"/>
  <c r="O34" i="1"/>
  <c r="O38" i="1"/>
  <c r="O39" i="1"/>
  <c r="O37" i="1"/>
  <c r="O40" i="1"/>
  <c r="O41" i="1"/>
  <c r="O30" i="1"/>
  <c r="O43" i="1"/>
  <c r="O42" i="1"/>
  <c r="O46" i="1"/>
  <c r="O44" i="1"/>
  <c r="O48" i="1"/>
  <c r="O47" i="1"/>
  <c r="O52" i="1"/>
  <c r="O51" i="1"/>
  <c r="O49" i="1"/>
  <c r="O50" i="1"/>
  <c r="O53" i="1"/>
  <c r="O45" i="1"/>
  <c r="O54" i="1"/>
  <c r="O55" i="1"/>
  <c r="O56" i="1"/>
  <c r="O57" i="1"/>
  <c r="O61" i="1"/>
  <c r="O60" i="1"/>
  <c r="O58" i="1"/>
  <c r="O59" i="1"/>
  <c r="O63" i="1"/>
  <c r="O62" i="1"/>
  <c r="O65" i="1"/>
  <c r="O64" i="1"/>
  <c r="O66" i="1"/>
  <c r="O67" i="1"/>
  <c r="O68" i="1"/>
  <c r="O69" i="1"/>
  <c r="O70" i="1"/>
  <c r="O72" i="1"/>
  <c r="O71" i="1"/>
  <c r="O73" i="1"/>
  <c r="O74" i="1"/>
  <c r="O75" i="1"/>
  <c r="O76" i="1"/>
  <c r="O77" i="1"/>
  <c r="O78" i="1"/>
  <c r="O79" i="1"/>
  <c r="O2" i="1"/>
  <c r="AM8" i="1"/>
  <c r="B9" i="2"/>
  <c r="AM4" i="1"/>
  <c r="AM7" i="1"/>
  <c r="AM6" i="1"/>
  <c r="AM5" i="1"/>
  <c r="AM18" i="1"/>
  <c r="AM14" i="1"/>
  <c r="AM11" i="1"/>
  <c r="AM23" i="1"/>
  <c r="AM17" i="1"/>
  <c r="AM28" i="1"/>
  <c r="AM15" i="1"/>
  <c r="AM12" i="1"/>
  <c r="AM33" i="1"/>
  <c r="AM10" i="1"/>
  <c r="AM9" i="1"/>
  <c r="AM3" i="1"/>
  <c r="AM52" i="1"/>
  <c r="AM16" i="1"/>
  <c r="AM26" i="1"/>
  <c r="AM35" i="1"/>
  <c r="AM51" i="1"/>
  <c r="AM21" i="1"/>
  <c r="AM31" i="1"/>
  <c r="AM24" i="1"/>
  <c r="AM13" i="1"/>
  <c r="AM32" i="1"/>
  <c r="AM42" i="1"/>
  <c r="AM39" i="1"/>
  <c r="AM40" i="1"/>
  <c r="AM25" i="1"/>
  <c r="AM46" i="1"/>
  <c r="AM27" i="1"/>
  <c r="AM22" i="1"/>
  <c r="AM38" i="1"/>
  <c r="AM36" i="1"/>
  <c r="AM48" i="1"/>
  <c r="AM29" i="1"/>
  <c r="AM50" i="1"/>
  <c r="AM34" i="1"/>
  <c r="AM66" i="1"/>
  <c r="AM43" i="1"/>
  <c r="AM57" i="1"/>
  <c r="AM30" i="1"/>
  <c r="AM37" i="1"/>
  <c r="AM53" i="1"/>
  <c r="AM47" i="1"/>
  <c r="AM65" i="1"/>
  <c r="AM67" i="1"/>
  <c r="AM44" i="1"/>
  <c r="AM64" i="1"/>
  <c r="AM55" i="1"/>
  <c r="AM19" i="1"/>
  <c r="AM41" i="1"/>
  <c r="AM58" i="1"/>
  <c r="AM49" i="1"/>
  <c r="AM20" i="1"/>
  <c r="AM45" i="1"/>
  <c r="AM54" i="1"/>
  <c r="AM73" i="1"/>
  <c r="AM63" i="1"/>
  <c r="AM59" i="1"/>
  <c r="AM56" i="1"/>
  <c r="AM61" i="1"/>
  <c r="AM74" i="1"/>
  <c r="AM75" i="1"/>
  <c r="AM69" i="1"/>
  <c r="AM71" i="1"/>
  <c r="AM77" i="1"/>
  <c r="AM70" i="1"/>
  <c r="AM60" i="1"/>
  <c r="AM62" i="1"/>
  <c r="AM72" i="1"/>
  <c r="AM78" i="1"/>
  <c r="AM76" i="1"/>
  <c r="AM68" i="1"/>
  <c r="AM79" i="1"/>
  <c r="AK4" i="1"/>
  <c r="AK7" i="1"/>
  <c r="AK6" i="1"/>
  <c r="AK5" i="1"/>
  <c r="AK18" i="1"/>
  <c r="AK14" i="1"/>
  <c r="AK11" i="1"/>
  <c r="AK8" i="1"/>
  <c r="AK23" i="1"/>
  <c r="AK17" i="1"/>
  <c r="AK28" i="1"/>
  <c r="AK15" i="1"/>
  <c r="AK12" i="1"/>
  <c r="AK33" i="1"/>
  <c r="AK10" i="1"/>
  <c r="AK9" i="1"/>
  <c r="AK3" i="1"/>
  <c r="AK52" i="1"/>
  <c r="AK16" i="1"/>
  <c r="AK26" i="1"/>
  <c r="AK35" i="1"/>
  <c r="AK51" i="1"/>
  <c r="AK21" i="1"/>
  <c r="AK31" i="1"/>
  <c r="AK24" i="1"/>
  <c r="AK13" i="1"/>
  <c r="AK32" i="1"/>
  <c r="AK42" i="1"/>
  <c r="AK39" i="1"/>
  <c r="AK40" i="1"/>
  <c r="AK25" i="1"/>
  <c r="AK46" i="1"/>
  <c r="AK27" i="1"/>
  <c r="AK22" i="1"/>
  <c r="AK38" i="1"/>
  <c r="AK36" i="1"/>
  <c r="AK48" i="1"/>
  <c r="AK29" i="1"/>
  <c r="AK50" i="1"/>
  <c r="AK34" i="1"/>
  <c r="AK66" i="1"/>
  <c r="AK43" i="1"/>
  <c r="AK57" i="1"/>
  <c r="AK30" i="1"/>
  <c r="AK37" i="1"/>
  <c r="AK53" i="1"/>
  <c r="AK47" i="1"/>
  <c r="AK65" i="1"/>
  <c r="AK67" i="1"/>
  <c r="AK44" i="1"/>
  <c r="AK64" i="1"/>
  <c r="AK55" i="1"/>
  <c r="AK19" i="1"/>
  <c r="AK41" i="1"/>
  <c r="AK58" i="1"/>
  <c r="AK49" i="1"/>
  <c r="AK20" i="1"/>
  <c r="AK45" i="1"/>
  <c r="AK54" i="1"/>
  <c r="AK73" i="1"/>
  <c r="AK63" i="1"/>
  <c r="AK59" i="1"/>
  <c r="AK56" i="1"/>
  <c r="AK61" i="1"/>
  <c r="AK74" i="1"/>
  <c r="AK75" i="1"/>
  <c r="AK69" i="1"/>
  <c r="AK71" i="1"/>
  <c r="AK77" i="1"/>
  <c r="AK70" i="1"/>
  <c r="AK60" i="1"/>
  <c r="AK62" i="1"/>
  <c r="AK72" i="1"/>
  <c r="AK78" i="1"/>
  <c r="AK76" i="1"/>
  <c r="AK68" i="1"/>
  <c r="AK79" i="1"/>
  <c r="AJ4" i="1"/>
  <c r="AJ7" i="1"/>
  <c r="AJ6" i="1"/>
  <c r="AJ5" i="1"/>
  <c r="AJ18" i="1"/>
  <c r="AJ14" i="1"/>
  <c r="AJ11" i="1"/>
  <c r="AJ8" i="1"/>
  <c r="AJ23" i="1"/>
  <c r="AJ17" i="1"/>
  <c r="AJ28" i="1"/>
  <c r="AJ15" i="1"/>
  <c r="AJ12" i="1"/>
  <c r="AJ33" i="1"/>
  <c r="AJ10" i="1"/>
  <c r="AJ9" i="1"/>
  <c r="AJ3" i="1"/>
  <c r="AJ52" i="1"/>
  <c r="AJ16" i="1"/>
  <c r="AJ26" i="1"/>
  <c r="AJ35" i="1"/>
  <c r="AJ51" i="1"/>
  <c r="AJ21" i="1"/>
  <c r="AJ31" i="1"/>
  <c r="AJ24" i="1"/>
  <c r="AJ13" i="1"/>
  <c r="AJ32" i="1"/>
  <c r="AJ42" i="1"/>
  <c r="AJ39" i="1"/>
  <c r="AJ40" i="1"/>
  <c r="AJ25" i="1"/>
  <c r="AJ46" i="1"/>
  <c r="AJ27" i="1"/>
  <c r="AJ22" i="1"/>
  <c r="AJ38" i="1"/>
  <c r="AJ36" i="1"/>
  <c r="AJ48" i="1"/>
  <c r="AJ29" i="1"/>
  <c r="AJ50" i="1"/>
  <c r="AJ34" i="1"/>
  <c r="AJ66" i="1"/>
  <c r="AJ43" i="1"/>
  <c r="AJ57" i="1"/>
  <c r="AJ30" i="1"/>
  <c r="AJ37" i="1"/>
  <c r="AJ53" i="1"/>
  <c r="AJ47" i="1"/>
  <c r="AJ65" i="1"/>
  <c r="AJ67" i="1"/>
  <c r="AJ44" i="1"/>
  <c r="AJ64" i="1"/>
  <c r="AJ55" i="1"/>
  <c r="AJ19" i="1"/>
  <c r="AJ41" i="1"/>
  <c r="AJ58" i="1"/>
  <c r="AJ49" i="1"/>
  <c r="AJ20" i="1"/>
  <c r="AJ45" i="1"/>
  <c r="AJ54" i="1"/>
  <c r="AJ73" i="1"/>
  <c r="AJ63" i="1"/>
  <c r="AJ59" i="1"/>
  <c r="AJ56" i="1"/>
  <c r="AJ61" i="1"/>
  <c r="AJ74" i="1"/>
  <c r="AJ75" i="1"/>
  <c r="AJ69" i="1"/>
  <c r="AJ71" i="1"/>
  <c r="AJ77" i="1"/>
  <c r="AJ70" i="1"/>
  <c r="AJ60" i="1"/>
  <c r="AJ62" i="1"/>
  <c r="AJ72" i="1"/>
  <c r="AJ78" i="1"/>
  <c r="AJ76" i="1"/>
  <c r="AJ68" i="1"/>
  <c r="AJ79" i="1"/>
  <c r="AK2" i="1"/>
  <c r="AM2" i="1"/>
  <c r="AJ2" i="1"/>
  <c r="AN35" i="1"/>
  <c r="AL35" i="1"/>
  <c r="AH35" i="1"/>
  <c r="AI35" i="1" s="1"/>
  <c r="AO35" i="1"/>
  <c r="AG35" i="1"/>
  <c r="AC35" i="1"/>
  <c r="AD35" i="1" s="1"/>
  <c r="AE35" i="1" s="1"/>
  <c r="AF35" i="1" s="1"/>
  <c r="AN52" i="1"/>
  <c r="AL52" i="1"/>
  <c r="AH52" i="1"/>
  <c r="AI52" i="1" s="1"/>
  <c r="AO52" i="1"/>
  <c r="AG52" i="1"/>
  <c r="AC52" i="1"/>
  <c r="AD52" i="1" s="1"/>
  <c r="AE52" i="1" s="1"/>
  <c r="AF52" i="1" s="1"/>
  <c r="AN3" i="1"/>
  <c r="AL3" i="1"/>
  <c r="AO8" i="1"/>
  <c r="AO39" i="1"/>
  <c r="AO41" i="1"/>
  <c r="AO29" i="1"/>
  <c r="AO59" i="1"/>
  <c r="AO40" i="1"/>
  <c r="AO21" i="1"/>
  <c r="AO32" i="1"/>
  <c r="AO67" i="1"/>
  <c r="AO44" i="1"/>
  <c r="AO2" i="1"/>
  <c r="AO16" i="1"/>
  <c r="AO75" i="1"/>
  <c r="AO4" i="1"/>
  <c r="AO54" i="1"/>
  <c r="AO73" i="1"/>
  <c r="AO69" i="1"/>
  <c r="AO71" i="1"/>
  <c r="AO45" i="1"/>
  <c r="AO20" i="1"/>
  <c r="AO13" i="1"/>
  <c r="AO10" i="1"/>
  <c r="AO15" i="1"/>
  <c r="AO17" i="1"/>
  <c r="AO38" i="1"/>
  <c r="AO25" i="1"/>
  <c r="AO77" i="1"/>
  <c r="AO7" i="1"/>
  <c r="AO64" i="1"/>
  <c r="AO65" i="1"/>
  <c r="AO70" i="1"/>
  <c r="AO56" i="1"/>
  <c r="AO60" i="1"/>
  <c r="AO19" i="1"/>
  <c r="AO37" i="1"/>
  <c r="AO30" i="1"/>
  <c r="AO49" i="1"/>
  <c r="AO61" i="1"/>
  <c r="AO9" i="1"/>
  <c r="AO62" i="1"/>
  <c r="AO46" i="1"/>
  <c r="AO22" i="1"/>
  <c r="AO50" i="1"/>
  <c r="AO58" i="1"/>
  <c r="AO74" i="1"/>
  <c r="AO51" i="1"/>
  <c r="AO48" i="1"/>
  <c r="AO79" i="1"/>
  <c r="AO76" i="1"/>
  <c r="AO47" i="1"/>
  <c r="AO53" i="1"/>
  <c r="AO31" i="1"/>
  <c r="AO57" i="1"/>
  <c r="AO72" i="1"/>
  <c r="AO68" i="1"/>
  <c r="AO36" i="1"/>
  <c r="AO63" i="1"/>
  <c r="AO34" i="1"/>
  <c r="AO12" i="1"/>
  <c r="AO42" i="1"/>
  <c r="AO43" i="1"/>
  <c r="AO6" i="1"/>
  <c r="AO14" i="1"/>
  <c r="AO27" i="1"/>
  <c r="AO24" i="1"/>
  <c r="AO11" i="1"/>
  <c r="AO66" i="1"/>
  <c r="AO5" i="1"/>
  <c r="AO18" i="1"/>
  <c r="AO33" i="1"/>
  <c r="AO78" i="1"/>
  <c r="AO28" i="1"/>
  <c r="AO26" i="1"/>
  <c r="AO23" i="1"/>
  <c r="AO3" i="1"/>
  <c r="AO55" i="1"/>
  <c r="AH3" i="1"/>
  <c r="AI3" i="1" s="1"/>
  <c r="AG3" i="1"/>
  <c r="AC3" i="1"/>
  <c r="AD3" i="1" s="1"/>
  <c r="AE3" i="1" s="1"/>
  <c r="AF3" i="1" s="1"/>
  <c r="AN23" i="1"/>
  <c r="AL23" i="1"/>
  <c r="AH23" i="1"/>
  <c r="AI23" i="1" s="1"/>
  <c r="AG23" i="1"/>
  <c r="AC23" i="1"/>
  <c r="AD23" i="1" s="1"/>
  <c r="AE23" i="1" s="1"/>
  <c r="AF23" i="1" s="1"/>
  <c r="AN26" i="1"/>
  <c r="AL26" i="1"/>
  <c r="AH26" i="1"/>
  <c r="AI26" i="1" s="1"/>
  <c r="AG26" i="1"/>
  <c r="AC26" i="1"/>
  <c r="AD26" i="1" s="1"/>
  <c r="AE26" i="1" s="1"/>
  <c r="AF26" i="1" s="1"/>
  <c r="AN28" i="1"/>
  <c r="AL28" i="1"/>
  <c r="AH28" i="1"/>
  <c r="AI28" i="1" s="1"/>
  <c r="AG28" i="1"/>
  <c r="AC28" i="1"/>
  <c r="AD28" i="1" s="1"/>
  <c r="AE28" i="1" s="1"/>
  <c r="AF28" i="1" s="1"/>
  <c r="AN78" i="1"/>
  <c r="AL78" i="1"/>
  <c r="AG78" i="1"/>
  <c r="AC78" i="1"/>
  <c r="AH78" i="1"/>
  <c r="AI78" i="1" s="1"/>
  <c r="AN33" i="1"/>
  <c r="AL33" i="1"/>
  <c r="AH33" i="1"/>
  <c r="AI33" i="1" s="1"/>
  <c r="AC33" i="1"/>
  <c r="AG33" i="1"/>
  <c r="AN18" i="1"/>
  <c r="AL18" i="1"/>
  <c r="AH18" i="1"/>
  <c r="AI18" i="1" s="1"/>
  <c r="AC18" i="1"/>
  <c r="AD18" i="1" s="1"/>
  <c r="AE18" i="1" s="1"/>
  <c r="AF18" i="1" s="1"/>
  <c r="AG18" i="1"/>
  <c r="AN5" i="1"/>
  <c r="AL5" i="1"/>
  <c r="AH5" i="1"/>
  <c r="AI5" i="1" s="1"/>
  <c r="AG5" i="1"/>
  <c r="AC5" i="1"/>
  <c r="AD5" i="1" s="1"/>
  <c r="AE5" i="1" s="1"/>
  <c r="AF5" i="1" s="1"/>
  <c r="AN66" i="1"/>
  <c r="AL66" i="1"/>
  <c r="AH66" i="1"/>
  <c r="AI66" i="1" s="1"/>
  <c r="AG66" i="1"/>
  <c r="AC66" i="1"/>
  <c r="AD66" i="1" s="1"/>
  <c r="AE66" i="1" s="1"/>
  <c r="AF66" i="1" s="1"/>
  <c r="AN11" i="1"/>
  <c r="AL11" i="1"/>
  <c r="AH11" i="1"/>
  <c r="AI11" i="1" s="1"/>
  <c r="AG11" i="1"/>
  <c r="AC11" i="1"/>
  <c r="AN24" i="1"/>
  <c r="AL24" i="1"/>
  <c r="AG24" i="1"/>
  <c r="AC24" i="1"/>
  <c r="AH24" i="1"/>
  <c r="AI24" i="1" s="1"/>
  <c r="AN8" i="1"/>
  <c r="AN39" i="1"/>
  <c r="AN41" i="1"/>
  <c r="AN29" i="1"/>
  <c r="AN59" i="1"/>
  <c r="AN40" i="1"/>
  <c r="AN21" i="1"/>
  <c r="AN32" i="1"/>
  <c r="AN67" i="1"/>
  <c r="AN44" i="1"/>
  <c r="AN2" i="1"/>
  <c r="AN16" i="1"/>
  <c r="AN75" i="1"/>
  <c r="AN4" i="1"/>
  <c r="AN54" i="1"/>
  <c r="AN73" i="1"/>
  <c r="AN69" i="1"/>
  <c r="AN71" i="1"/>
  <c r="AN45" i="1"/>
  <c r="AN20" i="1"/>
  <c r="AN13" i="1"/>
  <c r="AN10" i="1"/>
  <c r="AN15" i="1"/>
  <c r="AN17" i="1"/>
  <c r="AN38" i="1"/>
  <c r="AN25" i="1"/>
  <c r="AN77" i="1"/>
  <c r="AN7" i="1"/>
  <c r="AN64" i="1"/>
  <c r="AN65" i="1"/>
  <c r="AN70" i="1"/>
  <c r="AN56" i="1"/>
  <c r="AN60" i="1"/>
  <c r="AN19" i="1"/>
  <c r="AN37" i="1"/>
  <c r="AN30" i="1"/>
  <c r="AN49" i="1"/>
  <c r="AN61" i="1"/>
  <c r="AN9" i="1"/>
  <c r="AN62" i="1"/>
  <c r="AN46" i="1"/>
  <c r="AN22" i="1"/>
  <c r="AN50" i="1"/>
  <c r="AN58" i="1"/>
  <c r="AN74" i="1"/>
  <c r="AN51" i="1"/>
  <c r="AN48" i="1"/>
  <c r="AN79" i="1"/>
  <c r="AN76" i="1"/>
  <c r="AN47" i="1"/>
  <c r="AN53" i="1"/>
  <c r="AN31" i="1"/>
  <c r="AN57" i="1"/>
  <c r="AN72" i="1"/>
  <c r="AN68" i="1"/>
  <c r="AN36" i="1"/>
  <c r="AN63" i="1"/>
  <c r="AN34" i="1"/>
  <c r="AN12" i="1"/>
  <c r="AN42" i="1"/>
  <c r="AN43" i="1"/>
  <c r="AN6" i="1"/>
  <c r="AN14" i="1"/>
  <c r="AN27" i="1"/>
  <c r="AN55" i="1"/>
  <c r="AL8" i="1"/>
  <c r="AL39" i="1"/>
  <c r="AL41" i="1"/>
  <c r="AL29" i="1"/>
  <c r="AL59" i="1"/>
  <c r="AL40" i="1"/>
  <c r="AL21" i="1"/>
  <c r="AL32" i="1"/>
  <c r="AL67" i="1"/>
  <c r="AL44" i="1"/>
  <c r="AL2" i="1"/>
  <c r="AL16" i="1"/>
  <c r="AL75" i="1"/>
  <c r="AL4" i="1"/>
  <c r="AL54" i="1"/>
  <c r="AL73" i="1"/>
  <c r="AL69" i="1"/>
  <c r="AL71" i="1"/>
  <c r="AL45" i="1"/>
  <c r="AL20" i="1"/>
  <c r="AL13" i="1"/>
  <c r="AL10" i="1"/>
  <c r="AL15" i="1"/>
  <c r="AL17" i="1"/>
  <c r="AL38" i="1"/>
  <c r="AL25" i="1"/>
  <c r="AL77" i="1"/>
  <c r="AL7" i="1"/>
  <c r="AL64" i="1"/>
  <c r="AL65" i="1"/>
  <c r="AL70" i="1"/>
  <c r="AL56" i="1"/>
  <c r="AL60" i="1"/>
  <c r="AL19" i="1"/>
  <c r="AL37" i="1"/>
  <c r="AL30" i="1"/>
  <c r="AL49" i="1"/>
  <c r="AL61" i="1"/>
  <c r="AL9" i="1"/>
  <c r="AL62" i="1"/>
  <c r="AL46" i="1"/>
  <c r="AL22" i="1"/>
  <c r="AL50" i="1"/>
  <c r="AL58" i="1"/>
  <c r="AL74" i="1"/>
  <c r="AL51" i="1"/>
  <c r="AL48" i="1"/>
  <c r="AL79" i="1"/>
  <c r="AL76" i="1"/>
  <c r="AL47" i="1"/>
  <c r="AL53" i="1"/>
  <c r="AL31" i="1"/>
  <c r="AL57" i="1"/>
  <c r="AL72" i="1"/>
  <c r="AL68" i="1"/>
  <c r="AL36" i="1"/>
  <c r="AL63" i="1"/>
  <c r="AL34" i="1"/>
  <c r="AL12" i="1"/>
  <c r="AL42" i="1"/>
  <c r="AL43" i="1"/>
  <c r="AL6" i="1"/>
  <c r="AL14" i="1"/>
  <c r="AL27" i="1"/>
  <c r="AL55" i="1"/>
  <c r="AH8" i="1"/>
  <c r="AI8" i="1" s="1"/>
  <c r="AH39" i="1"/>
  <c r="AI39" i="1" s="1"/>
  <c r="AH41" i="1"/>
  <c r="AI41" i="1" s="1"/>
  <c r="AH29" i="1"/>
  <c r="AI29" i="1" s="1"/>
  <c r="AH59" i="1"/>
  <c r="AI59" i="1" s="1"/>
  <c r="AH40" i="1"/>
  <c r="AI40" i="1" s="1"/>
  <c r="AH21" i="1"/>
  <c r="AI21" i="1" s="1"/>
  <c r="AH32" i="1"/>
  <c r="AI32" i="1" s="1"/>
  <c r="AH67" i="1"/>
  <c r="AI67" i="1" s="1"/>
  <c r="AH44" i="1"/>
  <c r="AI44" i="1" s="1"/>
  <c r="AH2" i="1"/>
  <c r="AI2" i="1" s="1"/>
  <c r="AH16" i="1"/>
  <c r="AI16" i="1" s="1"/>
  <c r="AH75" i="1"/>
  <c r="AI75" i="1" s="1"/>
  <c r="AH4" i="1"/>
  <c r="AI4" i="1" s="1"/>
  <c r="AH54" i="1"/>
  <c r="AI54" i="1" s="1"/>
  <c r="AH73" i="1"/>
  <c r="AI73" i="1" s="1"/>
  <c r="AH69" i="1"/>
  <c r="AI69" i="1" s="1"/>
  <c r="AH71" i="1"/>
  <c r="AI71" i="1" s="1"/>
  <c r="AH45" i="1"/>
  <c r="AI45" i="1" s="1"/>
  <c r="AH20" i="1"/>
  <c r="AI20" i="1" s="1"/>
  <c r="AH13" i="1"/>
  <c r="AI13" i="1" s="1"/>
  <c r="AH10" i="1"/>
  <c r="AI10" i="1" s="1"/>
  <c r="AH15" i="1"/>
  <c r="AI15" i="1" s="1"/>
  <c r="AH17" i="1"/>
  <c r="AI17" i="1" s="1"/>
  <c r="AH38" i="1"/>
  <c r="AI38" i="1" s="1"/>
  <c r="AH25" i="1"/>
  <c r="AI25" i="1" s="1"/>
  <c r="AH77" i="1"/>
  <c r="AI77" i="1" s="1"/>
  <c r="AH7" i="1"/>
  <c r="AI7" i="1" s="1"/>
  <c r="AH64" i="1"/>
  <c r="AI64" i="1" s="1"/>
  <c r="AH65" i="1"/>
  <c r="AI65" i="1" s="1"/>
  <c r="AH70" i="1"/>
  <c r="AI70" i="1" s="1"/>
  <c r="AH56" i="1"/>
  <c r="AI56" i="1" s="1"/>
  <c r="AH60" i="1"/>
  <c r="AI60" i="1" s="1"/>
  <c r="AH19" i="1"/>
  <c r="AI19" i="1" s="1"/>
  <c r="AH37" i="1"/>
  <c r="AI37" i="1" s="1"/>
  <c r="AH30" i="1"/>
  <c r="AI30" i="1" s="1"/>
  <c r="AH49" i="1"/>
  <c r="AI49" i="1" s="1"/>
  <c r="AH61" i="1"/>
  <c r="AI61" i="1" s="1"/>
  <c r="AH9" i="1"/>
  <c r="AI9" i="1" s="1"/>
  <c r="AH62" i="1"/>
  <c r="AI62" i="1" s="1"/>
  <c r="AH46" i="1"/>
  <c r="AI46" i="1" s="1"/>
  <c r="AH22" i="1"/>
  <c r="AI22" i="1" s="1"/>
  <c r="AH50" i="1"/>
  <c r="AI50" i="1" s="1"/>
  <c r="AH58" i="1"/>
  <c r="AI58" i="1" s="1"/>
  <c r="AH74" i="1"/>
  <c r="AI74" i="1" s="1"/>
  <c r="AH51" i="1"/>
  <c r="AI51" i="1" s="1"/>
  <c r="AH48" i="1"/>
  <c r="AI48" i="1" s="1"/>
  <c r="AH79" i="1"/>
  <c r="AI79" i="1" s="1"/>
  <c r="AH76" i="1"/>
  <c r="AI76" i="1" s="1"/>
  <c r="AH47" i="1"/>
  <c r="AI47" i="1" s="1"/>
  <c r="AH53" i="1"/>
  <c r="AI53" i="1" s="1"/>
  <c r="AH31" i="1"/>
  <c r="AI31" i="1" s="1"/>
  <c r="AH57" i="1"/>
  <c r="AI57" i="1" s="1"/>
  <c r="AH72" i="1"/>
  <c r="AI72" i="1" s="1"/>
  <c r="AH68" i="1"/>
  <c r="AI68" i="1" s="1"/>
  <c r="AH36" i="1"/>
  <c r="AI36" i="1" s="1"/>
  <c r="AH63" i="1"/>
  <c r="AI63" i="1" s="1"/>
  <c r="AH34" i="1"/>
  <c r="AI34" i="1" s="1"/>
  <c r="AH12" i="1"/>
  <c r="AI12" i="1" s="1"/>
  <c r="AH42" i="1"/>
  <c r="AI42" i="1" s="1"/>
  <c r="AH43" i="1"/>
  <c r="AI43" i="1" s="1"/>
  <c r="AH6" i="1"/>
  <c r="AI6" i="1" s="1"/>
  <c r="AH14" i="1"/>
  <c r="AI14" i="1" s="1"/>
  <c r="AH27" i="1"/>
  <c r="AI27" i="1" s="1"/>
  <c r="AH55" i="1"/>
  <c r="AI55" i="1" s="1"/>
  <c r="AG8" i="1"/>
  <c r="AG39" i="1"/>
  <c r="AG41" i="1"/>
  <c r="AG29" i="1"/>
  <c r="AG59" i="1"/>
  <c r="AG40" i="1"/>
  <c r="AG21" i="1"/>
  <c r="AG32" i="1"/>
  <c r="AG67" i="1"/>
  <c r="AG44" i="1"/>
  <c r="AG2" i="1"/>
  <c r="AG16" i="1"/>
  <c r="AG75" i="1"/>
  <c r="AG4" i="1"/>
  <c r="AG54" i="1"/>
  <c r="AG73" i="1"/>
  <c r="AG69" i="1"/>
  <c r="AG71" i="1"/>
  <c r="AG45" i="1"/>
  <c r="AG20" i="1"/>
  <c r="AG13" i="1"/>
  <c r="AG10" i="1"/>
  <c r="AG15" i="1"/>
  <c r="AG17" i="1"/>
  <c r="AG38" i="1"/>
  <c r="AG25" i="1"/>
  <c r="AG77" i="1"/>
  <c r="AG7" i="1"/>
  <c r="AG64" i="1"/>
  <c r="AG65" i="1"/>
  <c r="AG70" i="1"/>
  <c r="AG56" i="1"/>
  <c r="AG60" i="1"/>
  <c r="AG19" i="1"/>
  <c r="AG37" i="1"/>
  <c r="AG30" i="1"/>
  <c r="AG49" i="1"/>
  <c r="AG61" i="1"/>
  <c r="AG9" i="1"/>
  <c r="AG62" i="1"/>
  <c r="AG46" i="1"/>
  <c r="AG22" i="1"/>
  <c r="AG50" i="1"/>
  <c r="AG58" i="1"/>
  <c r="AG74" i="1"/>
  <c r="AG51" i="1"/>
  <c r="AG48" i="1"/>
  <c r="AG79" i="1"/>
  <c r="AG76" i="1"/>
  <c r="AG47" i="1"/>
  <c r="AG53" i="1"/>
  <c r="AG31" i="1"/>
  <c r="AG57" i="1"/>
  <c r="AG72" i="1"/>
  <c r="AG68" i="1"/>
  <c r="AG36" i="1"/>
  <c r="AG63" i="1"/>
  <c r="AG34" i="1"/>
  <c r="AG12" i="1"/>
  <c r="AG42" i="1"/>
  <c r="AG43" i="1"/>
  <c r="AG6" i="1"/>
  <c r="AG14" i="1"/>
  <c r="AG27" i="1"/>
  <c r="AG55" i="1"/>
  <c r="AC55" i="1"/>
  <c r="AD55" i="1" s="1"/>
  <c r="AE55" i="1" s="1"/>
  <c r="AF55" i="1" s="1"/>
  <c r="AC8" i="1"/>
  <c r="AC39" i="1"/>
  <c r="AC41" i="1"/>
  <c r="AD41" i="1" s="1"/>
  <c r="AE41" i="1" s="1"/>
  <c r="AF41" i="1" s="1"/>
  <c r="AC29" i="1"/>
  <c r="AD29" i="1" s="1"/>
  <c r="AE29" i="1" s="1"/>
  <c r="AF29" i="1" s="1"/>
  <c r="AC59" i="1"/>
  <c r="AD59" i="1" s="1"/>
  <c r="AE59" i="1" s="1"/>
  <c r="AF59" i="1" s="1"/>
  <c r="AC40" i="1"/>
  <c r="AC21" i="1"/>
  <c r="AC32" i="1"/>
  <c r="AD32" i="1" s="1"/>
  <c r="AE32" i="1" s="1"/>
  <c r="AF32" i="1" s="1"/>
  <c r="AC67" i="1"/>
  <c r="AD67" i="1" s="1"/>
  <c r="AE67" i="1" s="1"/>
  <c r="AF67" i="1" s="1"/>
  <c r="AC44" i="1"/>
  <c r="AD44" i="1" s="1"/>
  <c r="AE44" i="1" s="1"/>
  <c r="AF44" i="1" s="1"/>
  <c r="AC2" i="1"/>
  <c r="AD2" i="1" s="1"/>
  <c r="AE2" i="1" s="1"/>
  <c r="AF2" i="1" s="1"/>
  <c r="AC16" i="1"/>
  <c r="AD16" i="1" s="1"/>
  <c r="AE16" i="1" s="1"/>
  <c r="AF16" i="1" s="1"/>
  <c r="AC75" i="1"/>
  <c r="AD75" i="1" s="1"/>
  <c r="AE75" i="1" s="1"/>
  <c r="AF75" i="1" s="1"/>
  <c r="AC4" i="1"/>
  <c r="AD4" i="1" s="1"/>
  <c r="AE4" i="1" s="1"/>
  <c r="AF4" i="1" s="1"/>
  <c r="AC54" i="1"/>
  <c r="AD54" i="1" s="1"/>
  <c r="AE54" i="1" s="1"/>
  <c r="AF54" i="1" s="1"/>
  <c r="AC73" i="1"/>
  <c r="AD73" i="1" s="1"/>
  <c r="AE73" i="1" s="1"/>
  <c r="AF73" i="1" s="1"/>
  <c r="AC69" i="1"/>
  <c r="AC71" i="1"/>
  <c r="AC45" i="1"/>
  <c r="AD45" i="1" s="1"/>
  <c r="AE45" i="1" s="1"/>
  <c r="AF45" i="1" s="1"/>
  <c r="AC20" i="1"/>
  <c r="AD20" i="1" s="1"/>
  <c r="AE20" i="1" s="1"/>
  <c r="AF20" i="1" s="1"/>
  <c r="AC13" i="1"/>
  <c r="AD13" i="1" s="1"/>
  <c r="AE13" i="1" s="1"/>
  <c r="AF13" i="1" s="1"/>
  <c r="AC10" i="1"/>
  <c r="AD10" i="1" s="1"/>
  <c r="AE10" i="1" s="1"/>
  <c r="AF10" i="1" s="1"/>
  <c r="AC15" i="1"/>
  <c r="AC17" i="1"/>
  <c r="AD17" i="1" s="1"/>
  <c r="AE17" i="1" s="1"/>
  <c r="AF17" i="1" s="1"/>
  <c r="AC38" i="1"/>
  <c r="AD38" i="1" s="1"/>
  <c r="AE38" i="1" s="1"/>
  <c r="AF38" i="1" s="1"/>
  <c r="AC25" i="1"/>
  <c r="AD25" i="1" s="1"/>
  <c r="AE25" i="1" s="1"/>
  <c r="AF25" i="1" s="1"/>
  <c r="AC77" i="1"/>
  <c r="AD77" i="1" s="1"/>
  <c r="AE77" i="1" s="1"/>
  <c r="AF77" i="1" s="1"/>
  <c r="AC7" i="1"/>
  <c r="AD7" i="1" s="1"/>
  <c r="AE7" i="1" s="1"/>
  <c r="AF7" i="1" s="1"/>
  <c r="AC64" i="1"/>
  <c r="AD64" i="1" s="1"/>
  <c r="AE64" i="1" s="1"/>
  <c r="AF64" i="1" s="1"/>
  <c r="AC65" i="1"/>
  <c r="AD65" i="1" s="1"/>
  <c r="AE65" i="1" s="1"/>
  <c r="AF65" i="1" s="1"/>
  <c r="AC70" i="1"/>
  <c r="AD70" i="1" s="1"/>
  <c r="AE70" i="1" s="1"/>
  <c r="AF70" i="1" s="1"/>
  <c r="AC56" i="1"/>
  <c r="AD56" i="1" s="1"/>
  <c r="AE56" i="1" s="1"/>
  <c r="AF56" i="1" s="1"/>
  <c r="AC60" i="1"/>
  <c r="AC19" i="1"/>
  <c r="AC37" i="1"/>
  <c r="AD37" i="1" s="1"/>
  <c r="AE37" i="1" s="1"/>
  <c r="AF37" i="1" s="1"/>
  <c r="AC30" i="1"/>
  <c r="AD30" i="1" s="1"/>
  <c r="AE30" i="1" s="1"/>
  <c r="AF30" i="1" s="1"/>
  <c r="AC49" i="1"/>
  <c r="AD49" i="1" s="1"/>
  <c r="AE49" i="1" s="1"/>
  <c r="AF49" i="1" s="1"/>
  <c r="AC61" i="1"/>
  <c r="AD61" i="1" s="1"/>
  <c r="AE61" i="1" s="1"/>
  <c r="AF61" i="1" s="1"/>
  <c r="AC9" i="1"/>
  <c r="AD9" i="1" s="1"/>
  <c r="AE9" i="1" s="1"/>
  <c r="AF9" i="1" s="1"/>
  <c r="AC62" i="1"/>
  <c r="AD62" i="1" s="1"/>
  <c r="AE62" i="1" s="1"/>
  <c r="AF62" i="1" s="1"/>
  <c r="AC46" i="1"/>
  <c r="AD46" i="1" s="1"/>
  <c r="AE46" i="1" s="1"/>
  <c r="AF46" i="1" s="1"/>
  <c r="AC22" i="1"/>
  <c r="AD22" i="1" s="1"/>
  <c r="AE22" i="1" s="1"/>
  <c r="AF22" i="1" s="1"/>
  <c r="AC50" i="1"/>
  <c r="AD50" i="1" s="1"/>
  <c r="AE50" i="1" s="1"/>
  <c r="AF50" i="1" s="1"/>
  <c r="AC58" i="1"/>
  <c r="AD58" i="1" s="1"/>
  <c r="AE58" i="1" s="1"/>
  <c r="AF58" i="1" s="1"/>
  <c r="AC74" i="1"/>
  <c r="AD74" i="1" s="1"/>
  <c r="AE74" i="1" s="1"/>
  <c r="AF74" i="1" s="1"/>
  <c r="AC51" i="1"/>
  <c r="AD51" i="1" s="1"/>
  <c r="AE51" i="1" s="1"/>
  <c r="AF51" i="1" s="1"/>
  <c r="AP51" i="1" s="1"/>
  <c r="AC48" i="1"/>
  <c r="AD48" i="1" s="1"/>
  <c r="AE48" i="1" s="1"/>
  <c r="AF48" i="1" s="1"/>
  <c r="AC79" i="1"/>
  <c r="AD79" i="1" s="1"/>
  <c r="AE79" i="1" s="1"/>
  <c r="AF79" i="1" s="1"/>
  <c r="AC76" i="1"/>
  <c r="AC47" i="1"/>
  <c r="AC53" i="1"/>
  <c r="AD53" i="1" s="1"/>
  <c r="AE53" i="1" s="1"/>
  <c r="AF53" i="1" s="1"/>
  <c r="AC31" i="1"/>
  <c r="AD31" i="1" s="1"/>
  <c r="AE31" i="1" s="1"/>
  <c r="AF31" i="1" s="1"/>
  <c r="AC57" i="1"/>
  <c r="AD57" i="1" s="1"/>
  <c r="AE57" i="1" s="1"/>
  <c r="AF57" i="1" s="1"/>
  <c r="AC72" i="1"/>
  <c r="AD72" i="1" s="1"/>
  <c r="AE72" i="1" s="1"/>
  <c r="AF72" i="1" s="1"/>
  <c r="AC68" i="1"/>
  <c r="AD68" i="1" s="1"/>
  <c r="AE68" i="1" s="1"/>
  <c r="AF68" i="1" s="1"/>
  <c r="AC36" i="1"/>
  <c r="AD36" i="1" s="1"/>
  <c r="AE36" i="1" s="1"/>
  <c r="AF36" i="1" s="1"/>
  <c r="AC63" i="1"/>
  <c r="AD63" i="1" s="1"/>
  <c r="AE63" i="1" s="1"/>
  <c r="AF63" i="1" s="1"/>
  <c r="AC34" i="1"/>
  <c r="AD34" i="1" s="1"/>
  <c r="AE34" i="1" s="1"/>
  <c r="AF34" i="1" s="1"/>
  <c r="AC12" i="1"/>
  <c r="AD12" i="1" s="1"/>
  <c r="AE12" i="1" s="1"/>
  <c r="AF12" i="1" s="1"/>
  <c r="AC42" i="1"/>
  <c r="AD42" i="1" s="1"/>
  <c r="AE42" i="1" s="1"/>
  <c r="AF42" i="1" s="1"/>
  <c r="AC43" i="1"/>
  <c r="AD43" i="1" s="1"/>
  <c r="AE43" i="1" s="1"/>
  <c r="AF43" i="1" s="1"/>
  <c r="AP43" i="1" s="1"/>
  <c r="AC6" i="1"/>
  <c r="AD6" i="1" s="1"/>
  <c r="AE6" i="1" s="1"/>
  <c r="AF6" i="1" s="1"/>
  <c r="AC14" i="1"/>
  <c r="AD14" i="1" s="1"/>
  <c r="AE14" i="1" s="1"/>
  <c r="AF14" i="1" s="1"/>
  <c r="AC27" i="1"/>
  <c r="AD27" i="1" s="1"/>
  <c r="AE27" i="1" s="1"/>
  <c r="AF27" i="1" s="1"/>
  <c r="AP75" i="1" l="1"/>
  <c r="AP74" i="1"/>
  <c r="AP34" i="1"/>
  <c r="AP72" i="1"/>
  <c r="AP50" i="1"/>
  <c r="AP36" i="1"/>
  <c r="AP62" i="1"/>
  <c r="AP25" i="1"/>
  <c r="AP68" i="1"/>
  <c r="AP42" i="1"/>
  <c r="AP57" i="1"/>
  <c r="AP14" i="1"/>
  <c r="AP70" i="1"/>
  <c r="AP54" i="1"/>
  <c r="AP7" i="1"/>
  <c r="AP77" i="1"/>
  <c r="AP44" i="1"/>
  <c r="AP17" i="1"/>
  <c r="AP10" i="1"/>
  <c r="AP27" i="1"/>
  <c r="AP79" i="1"/>
  <c r="AP56" i="1"/>
  <c r="AP73" i="1"/>
  <c r="AP6" i="1"/>
  <c r="AP65" i="1"/>
  <c r="AP4" i="1"/>
  <c r="AP55" i="1"/>
  <c r="AP23" i="1"/>
  <c r="AP22" i="1"/>
  <c r="AP52" i="1"/>
  <c r="AP30" i="1"/>
  <c r="AP16" i="1"/>
  <c r="AP5" i="1"/>
  <c r="AP12" i="1"/>
  <c r="AP38" i="1"/>
  <c r="AP67" i="1"/>
  <c r="AP3" i="1"/>
  <c r="AP32" i="1"/>
  <c r="AP28" i="1"/>
  <c r="AP9" i="1"/>
  <c r="AP61" i="1"/>
  <c r="AP63" i="1"/>
  <c r="AP46" i="1"/>
  <c r="AP2" i="1"/>
  <c r="AP18" i="1"/>
  <c r="AP49" i="1"/>
  <c r="AP13" i="1"/>
  <c r="AP59" i="1"/>
  <c r="AP64" i="1"/>
  <c r="AP29" i="1"/>
  <c r="AP31" i="1"/>
  <c r="AP45" i="1"/>
  <c r="AP26" i="1"/>
  <c r="AP58" i="1"/>
  <c r="AP48" i="1"/>
  <c r="AP35" i="1"/>
  <c r="AP66" i="1"/>
  <c r="AP20" i="1"/>
  <c r="AP53" i="1"/>
  <c r="AP37" i="1"/>
  <c r="AP41" i="1"/>
  <c r="AD33" i="1"/>
  <c r="AE33" i="1" s="1"/>
  <c r="AF33" i="1" s="1"/>
  <c r="AP33" i="1" s="1"/>
  <c r="AD15" i="1"/>
  <c r="AE15" i="1" s="1"/>
  <c r="AF15" i="1" s="1"/>
  <c r="AP15" i="1" s="1"/>
  <c r="AD21" i="1"/>
  <c r="AE21" i="1" s="1"/>
  <c r="AF21" i="1" s="1"/>
  <c r="AP21" i="1" s="1"/>
  <c r="AD40" i="1"/>
  <c r="AE40" i="1" s="1"/>
  <c r="AF40" i="1" s="1"/>
  <c r="AP40" i="1" s="1"/>
  <c r="AD78" i="1"/>
  <c r="AE78" i="1" s="1"/>
  <c r="AF78" i="1" s="1"/>
  <c r="AP78" i="1" s="1"/>
  <c r="AD11" i="1"/>
  <c r="AE11" i="1" s="1"/>
  <c r="AF11" i="1" s="1"/>
  <c r="AP11" i="1" s="1"/>
  <c r="AD47" i="1"/>
  <c r="AE47" i="1" s="1"/>
  <c r="AF47" i="1" s="1"/>
  <c r="AP47" i="1" s="1"/>
  <c r="AD19" i="1"/>
  <c r="AE19" i="1" s="1"/>
  <c r="AF19" i="1" s="1"/>
  <c r="AP19" i="1" s="1"/>
  <c r="AD71" i="1"/>
  <c r="AE71" i="1" s="1"/>
  <c r="AF71" i="1" s="1"/>
  <c r="AP71" i="1" s="1"/>
  <c r="AD39" i="1"/>
  <c r="AE39" i="1" s="1"/>
  <c r="AF39" i="1" s="1"/>
  <c r="AP39" i="1" s="1"/>
  <c r="AD24" i="1"/>
  <c r="AE24" i="1" s="1"/>
  <c r="AF24" i="1" s="1"/>
  <c r="AP24" i="1" s="1"/>
  <c r="AD76" i="1"/>
  <c r="AE76" i="1" s="1"/>
  <c r="AF76" i="1" s="1"/>
  <c r="AP76" i="1" s="1"/>
  <c r="AD60" i="1"/>
  <c r="AE60" i="1" s="1"/>
  <c r="AF60" i="1" s="1"/>
  <c r="AP60" i="1" s="1"/>
  <c r="AD69" i="1"/>
  <c r="AE69" i="1" s="1"/>
  <c r="AF69" i="1" s="1"/>
  <c r="AP69" i="1" s="1"/>
  <c r="AD8" i="1"/>
  <c r="AE8" i="1" s="1"/>
  <c r="AF8" i="1" s="1"/>
  <c r="AP8" i="1" s="1"/>
</calcChain>
</file>

<file path=xl/sharedStrings.xml><?xml version="1.0" encoding="utf-8"?>
<sst xmlns="http://schemas.openxmlformats.org/spreadsheetml/2006/main" count="287" uniqueCount="208">
  <si>
    <t>Division</t>
  </si>
  <si>
    <t>Conference Ranking</t>
  </si>
  <si>
    <t>School</t>
  </si>
  <si>
    <t>School Tier</t>
  </si>
  <si>
    <t>Coach</t>
  </si>
  <si>
    <t>Total Tenure</t>
  </si>
  <si>
    <t>Current Tenure</t>
  </si>
  <si>
    <t>Current Team Wins</t>
  </si>
  <si>
    <t>Current Team Losses</t>
  </si>
  <si>
    <t>Total Wins</t>
  </si>
  <si>
    <t>Total Losses</t>
  </si>
  <si>
    <t>T25 Wins</t>
  </si>
  <si>
    <t>T25 Losses</t>
  </si>
  <si>
    <t>T25 Total Games</t>
  </si>
  <si>
    <t># Conference Championship Appearances</t>
  </si>
  <si>
    <t># Conference Championship Wins</t>
  </si>
  <si>
    <t># Playoff Appearances</t>
  </si>
  <si>
    <t># National Championship Appearances</t>
  </si>
  <si>
    <t># National Championships</t>
  </si>
  <si>
    <t># Bowl Game Appearances</t>
  </si>
  <si>
    <t># Bowl Game Wins</t>
  </si>
  <si>
    <t>Major Coaching Awards</t>
  </si>
  <si>
    <t># of Top 20 Recruiting Classes</t>
  </si>
  <si>
    <t># of Top 20 Transfer Classes</t>
  </si>
  <si>
    <t>Record in  One Score Games??</t>
  </si>
  <si>
    <t># of Undefeated Szn???</t>
  </si>
  <si>
    <t>Current Win %</t>
  </si>
  <si>
    <t>Adj Win % Based on School Prestige</t>
  </si>
  <si>
    <t>Adj Win % Based on Tenure</t>
  </si>
  <si>
    <t>Adj Win % based on Conference Ranking</t>
  </si>
  <si>
    <t>Total Win %</t>
  </si>
  <si>
    <t>T25 win %</t>
  </si>
  <si>
    <t>Adjusted T25 Win %</t>
  </si>
  <si>
    <t>T25 Games/Total Games (Record Strength)</t>
  </si>
  <si>
    <t>Conference Champ Apps/yr</t>
  </si>
  <si>
    <t>Bowl Win %</t>
  </si>
  <si>
    <t>Bowl Appearances per Season</t>
  </si>
  <si>
    <t>Awards/year</t>
  </si>
  <si>
    <t>T25 Wins/ Total Wins</t>
  </si>
  <si>
    <t>Weighted Score</t>
  </si>
  <si>
    <t>References</t>
  </si>
  <si>
    <t>ACC</t>
  </si>
  <si>
    <t>UNC</t>
  </si>
  <si>
    <t>Belichick, Bill</t>
  </si>
  <si>
    <t>G5</t>
  </si>
  <si>
    <t>Texas State</t>
  </si>
  <si>
    <t>GJ Kinne</t>
  </si>
  <si>
    <t>Wake Forest</t>
  </si>
  <si>
    <t>Dickert, Jake</t>
  </si>
  <si>
    <t>UNLV</t>
  </si>
  <si>
    <t>Dan Mullen</t>
  </si>
  <si>
    <t>B12</t>
  </si>
  <si>
    <t>UCF</t>
  </si>
  <si>
    <t>Scott Frost</t>
  </si>
  <si>
    <t>BIG10</t>
  </si>
  <si>
    <t>Purdue</t>
  </si>
  <si>
    <t>Barry Odom</t>
  </si>
  <si>
    <t>Clemson</t>
  </si>
  <si>
    <t>Swinney, Dabo</t>
  </si>
  <si>
    <t>SEC</t>
  </si>
  <si>
    <t>Georgia</t>
  </si>
  <si>
    <t>Kirby Smart</t>
  </si>
  <si>
    <t>OSU</t>
  </si>
  <si>
    <t>Ryan Day</t>
  </si>
  <si>
    <t>Boise State</t>
  </si>
  <si>
    <t>Spencer Danielson</t>
  </si>
  <si>
    <t>Oklahoma State</t>
  </si>
  <si>
    <t>Mike Gundy</t>
  </si>
  <si>
    <t>Oregon</t>
  </si>
  <si>
    <t>Dan Lanning</t>
  </si>
  <si>
    <t>Utah</t>
  </si>
  <si>
    <t>Kyle Whittingham</t>
  </si>
  <si>
    <t>Indiana</t>
  </si>
  <si>
    <t>Curt Cignetti</t>
  </si>
  <si>
    <t>Syracuse</t>
  </si>
  <si>
    <t>Brown, Fran</t>
  </si>
  <si>
    <t>Iowa</t>
  </si>
  <si>
    <t>Kirk Ferentz</t>
  </si>
  <si>
    <t>Liberty</t>
  </si>
  <si>
    <t>Jamey Chadwell</t>
  </si>
  <si>
    <t>https://247sports.com/longformarticle/college-football-rankings-coaches-with-best-worst-records-against-top-25-teams-233938982/#2447212</t>
  </si>
  <si>
    <t>Alabama</t>
  </si>
  <si>
    <t>Kaelen Debor</t>
  </si>
  <si>
    <t>https://www.reddit.com/r/CFB/comments/etm9bu/coaches_record_vs_ranked_opponents/</t>
  </si>
  <si>
    <t>USC</t>
  </si>
  <si>
    <t>Lincoln Riley</t>
  </si>
  <si>
    <t>SMU</t>
  </si>
  <si>
    <t>Lashlee, Rhett</t>
  </si>
  <si>
    <t>Tennessee</t>
  </si>
  <si>
    <t>Josh Heupel</t>
  </si>
  <si>
    <t>Toledo</t>
  </si>
  <si>
    <t>Jason Candle</t>
  </si>
  <si>
    <t>Tulane</t>
  </si>
  <si>
    <t>Jon Sumrall</t>
  </si>
  <si>
    <t>PSU</t>
  </si>
  <si>
    <t>James Franklin</t>
  </si>
  <si>
    <t>UTSA</t>
  </si>
  <si>
    <t>Jeff Traylor</t>
  </si>
  <si>
    <t>WVU</t>
  </si>
  <si>
    <t>Rich Rodriguez</t>
  </si>
  <si>
    <t>Air Force</t>
  </si>
  <si>
    <t>Troy Calhoun</t>
  </si>
  <si>
    <t>Louisville</t>
  </si>
  <si>
    <t>Brohm, Jeff</t>
  </si>
  <si>
    <t>LSU</t>
  </si>
  <si>
    <t>Brian Kelly</t>
  </si>
  <si>
    <t>BYU</t>
  </si>
  <si>
    <t>Kalani Sitake</t>
  </si>
  <si>
    <t>NC State</t>
  </si>
  <si>
    <t>Doeren, David</t>
  </si>
  <si>
    <t>Army</t>
  </si>
  <si>
    <t>Jeff Monken</t>
  </si>
  <si>
    <t>Kansas State</t>
  </si>
  <si>
    <t>Chris Klieman</t>
  </si>
  <si>
    <t>Western Kentucky</t>
  </si>
  <si>
    <t>Tyson Helton</t>
  </si>
  <si>
    <t>Iowa State</t>
  </si>
  <si>
    <t>Matt Campbell</t>
  </si>
  <si>
    <t>Texas</t>
  </si>
  <si>
    <t>Steve Sarkisian</t>
  </si>
  <si>
    <t>Minnesota</t>
  </si>
  <si>
    <t>PJ Fleck</t>
  </si>
  <si>
    <t>Duke</t>
  </si>
  <si>
    <t>Diaz, Manny</t>
  </si>
  <si>
    <t>Pitt</t>
  </si>
  <si>
    <t>Narduzzi, Pat</t>
  </si>
  <si>
    <t>FSU</t>
  </si>
  <si>
    <t>Norvell, Mike</t>
  </si>
  <si>
    <t>TCU</t>
  </si>
  <si>
    <t>Sonny Dykes</t>
  </si>
  <si>
    <t>Texas Tech</t>
  </si>
  <si>
    <t>Joey McGuire</t>
  </si>
  <si>
    <t>Georgia Tech</t>
  </si>
  <si>
    <t>Key, Brent</t>
  </si>
  <si>
    <t>Illinois</t>
  </si>
  <si>
    <t>Bret Bielema</t>
  </si>
  <si>
    <t>Ole Miss</t>
  </si>
  <si>
    <t>Lane Kiffin</t>
  </si>
  <si>
    <t>ASU</t>
  </si>
  <si>
    <t>Kenny Dillingham</t>
  </si>
  <si>
    <t>Missouri</t>
  </si>
  <si>
    <t>Eli Drinkwitz</t>
  </si>
  <si>
    <t>South Carolina</t>
  </si>
  <si>
    <t>Shane Beamer</t>
  </si>
  <si>
    <t>Kentucky</t>
  </si>
  <si>
    <t>Mark Stoops</t>
  </si>
  <si>
    <t>Texas A&amp;M</t>
  </si>
  <si>
    <t>Mike Elko</t>
  </si>
  <si>
    <t>Miami of OH</t>
  </si>
  <si>
    <t>Chuck Martin</t>
  </si>
  <si>
    <t>Baylor</t>
  </si>
  <si>
    <t>Dave Aranda</t>
  </si>
  <si>
    <t>Michigan</t>
  </si>
  <si>
    <t>Sherrone Moore</t>
  </si>
  <si>
    <t>Boston College</t>
  </si>
  <si>
    <t>O'Brien, Bill</t>
  </si>
  <si>
    <t>Wisconsin</t>
  </si>
  <si>
    <t>Luke Fickell</t>
  </si>
  <si>
    <t>Colorado</t>
  </si>
  <si>
    <t>Deion Sanders</t>
  </si>
  <si>
    <t>Arkansas</t>
  </si>
  <si>
    <t>Sam Pittman</t>
  </si>
  <si>
    <t>Miami</t>
  </si>
  <si>
    <t>Cristobal, Mario</t>
  </si>
  <si>
    <t>Florida</t>
  </si>
  <si>
    <t>Billy Napier</t>
  </si>
  <si>
    <t>Oklahoma</t>
  </si>
  <si>
    <t>Brent Venables</t>
  </si>
  <si>
    <t>Auburn</t>
  </si>
  <si>
    <t>Hugh Freeze</t>
  </si>
  <si>
    <t>Kansas</t>
  </si>
  <si>
    <t>Lance Leipold</t>
  </si>
  <si>
    <t>Rutgers</t>
  </si>
  <si>
    <t>Greg Schiano</t>
  </si>
  <si>
    <t>Northwestern</t>
  </si>
  <si>
    <t>David Braun</t>
  </si>
  <si>
    <t>Colorado State</t>
  </si>
  <si>
    <t>Jay Norvell</t>
  </si>
  <si>
    <t>Cal</t>
  </si>
  <si>
    <t>Wilcox, Justin</t>
  </si>
  <si>
    <t>Houston</t>
  </si>
  <si>
    <t>Willie Fritz</t>
  </si>
  <si>
    <t>Nebraska</t>
  </si>
  <si>
    <t>Matt Rhule</t>
  </si>
  <si>
    <t>Washington</t>
  </si>
  <si>
    <t>Jedd Fisch</t>
  </si>
  <si>
    <t>Michigan State</t>
  </si>
  <si>
    <t>Jonathan Smith</t>
  </si>
  <si>
    <t>Cincinnati</t>
  </si>
  <si>
    <t>Scott Satterfield</t>
  </si>
  <si>
    <t>Maryland</t>
  </si>
  <si>
    <t>Mike Locksley</t>
  </si>
  <si>
    <t>Vanderbilt</t>
  </si>
  <si>
    <t>Clark Lea</t>
  </si>
  <si>
    <t>UVA</t>
  </si>
  <si>
    <t>Elliott, Tony</t>
  </si>
  <si>
    <t>Arizona</t>
  </si>
  <si>
    <t>Brent Brennan</t>
  </si>
  <si>
    <t>UCLA</t>
  </si>
  <si>
    <t>DeShaun Foster</t>
  </si>
  <si>
    <t>NM State</t>
  </si>
  <si>
    <t>Tony Sanchez</t>
  </si>
  <si>
    <t>Miss State</t>
  </si>
  <si>
    <t>Jeff Lebby</t>
  </si>
  <si>
    <t>Metric</t>
  </si>
  <si>
    <t>Weight</t>
  </si>
  <si>
    <t>Adj T25 win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</si>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</sst>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1" fillId="0" borderId="0" xfId="0" applyFont="1"/>
    <xf numFmtId="0" fontId="0" fillId="3" borderId="0" xfId="0" applyFill="1" applyAlignment="1">
      <alignment horizontal="center" wrapText="1"/>
    </xf>
    <xf numFmtId="0" fontId="0" fillId="3" borderId="0" xfId="0" applyFill="1"/>
    <xf numFmtId="0" fontId="1" fillId="4" borderId="0" xfId="2" applyFont="1" applyBorder="1"/>
    <xf numFmtId="0" fontId="4" fillId="4" borderId="0" xfId="2" applyBorder="1" applyAlignment="1">
      <alignment horizontal="center" wrapText="1"/>
    </xf>
    <xf numFmtId="0" fontId="4" fillId="4" borderId="0" xfId="2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/>
    <xf numFmtId="0" fontId="1" fillId="5" borderId="1" xfId="3" applyFont="1" applyBorder="1"/>
    <xf numFmtId="0" fontId="4" fillId="5" borderId="1" xfId="3" applyBorder="1" applyAlignment="1">
      <alignment horizontal="center" wrapText="1"/>
    </xf>
    <xf numFmtId="0" fontId="4" fillId="5" borderId="1" xfId="3" applyBorder="1"/>
    <xf numFmtId="0" fontId="2" fillId="0" borderId="1" xfId="1" applyBorder="1"/>
  </cellXfs>
  <cellStyles count="4">
    <cellStyle name="20% - Accent1" xfId="2" builtinId="30"/>
    <cellStyle name="40% - Accent2" xfId="3" builtinId="35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Win % based on School Prestige</a:t>
            </a:r>
          </a:p>
        </c:rich>
      </c:tx>
      <c:layout>
        <c:manualLayout>
          <c:xMode val="edge"/>
          <c:yMode val="edge"/>
          <c:x val="0.32633998091810562"/>
          <c:y val="3.3595817188493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Sheet1!$AC$1</c:f>
              <c:strCache>
                <c:ptCount val="1"/>
                <c:pt idx="0">
                  <c:v>Current Win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938270449067787E-3"/>
                  <c:y val="4.86414696810806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Sheet1!$E$2:$E$79</c:f>
              <c:numCache>
                <c:formatCode>General</c:formatCode>
                <c:ptCount val="78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2</c:v>
                </c:pt>
                <c:pt idx="33">
                  <c:v>4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4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4</c:v>
                </c:pt>
                <c:pt idx="77">
                  <c:v>4</c:v>
                </c:pt>
              </c:numCache>
            </c:numRef>
          </c:xVal>
          <c:yVal>
            <c:numRef>
              <c:f>Sheet1!$AC$2:$AC$79</c:f>
              <c:numCache>
                <c:formatCode>General</c:formatCode>
                <c:ptCount val="78"/>
                <c:pt idx="0">
                  <c:v>0</c:v>
                </c:pt>
                <c:pt idx="1">
                  <c:v>0.61538461538461542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0.79295154185022021</c:v>
                </c:pt>
                <c:pt idx="7">
                  <c:v>0.84677419354838712</c:v>
                </c:pt>
                <c:pt idx="8">
                  <c:v>0.875</c:v>
                </c:pt>
                <c:pt idx="9">
                  <c:v>0.83333333333333337</c:v>
                </c:pt>
                <c:pt idx="10">
                  <c:v>0.65758754863813229</c:v>
                </c:pt>
                <c:pt idx="11">
                  <c:v>0.85365853658536583</c:v>
                </c:pt>
                <c:pt idx="12">
                  <c:v>0.66007905138339917</c:v>
                </c:pt>
                <c:pt idx="13">
                  <c:v>0.84615384615384615</c:v>
                </c:pt>
                <c:pt idx="14">
                  <c:v>0.76923076923076927</c:v>
                </c:pt>
                <c:pt idx="15">
                  <c:v>0.62424242424242427</c:v>
                </c:pt>
                <c:pt idx="16">
                  <c:v>0.80769230769230771</c:v>
                </c:pt>
                <c:pt idx="17">
                  <c:v>0.69230769230769229</c:v>
                </c:pt>
                <c:pt idx="18">
                  <c:v>0.65</c:v>
                </c:pt>
                <c:pt idx="19">
                  <c:v>0.70731707317073167</c:v>
                </c:pt>
                <c:pt idx="20">
                  <c:v>0.71153846153846156</c:v>
                </c:pt>
                <c:pt idx="21">
                  <c:v>0.64601769911504425</c:v>
                </c:pt>
                <c:pt idx="22">
                  <c:v>0.6428571428571429</c:v>
                </c:pt>
                <c:pt idx="23">
                  <c:v>0.70629370629370625</c:v>
                </c:pt>
                <c:pt idx="24">
                  <c:v>0.69696969696969702</c:v>
                </c:pt>
                <c:pt idx="25">
                  <c:v>0.58904109589041098</c:v>
                </c:pt>
                <c:pt idx="26">
                  <c:v>0.6026785714285714</c:v>
                </c:pt>
                <c:pt idx="27">
                  <c:v>0.70370370370370372</c:v>
                </c:pt>
                <c:pt idx="28">
                  <c:v>0.72499999999999998</c:v>
                </c:pt>
                <c:pt idx="29">
                  <c:v>0.62608695652173918</c:v>
                </c:pt>
                <c:pt idx="30">
                  <c:v>0.57236842105263153</c:v>
                </c:pt>
                <c:pt idx="31">
                  <c:v>0.58992805755395683</c:v>
                </c:pt>
                <c:pt idx="32">
                  <c:v>0.63157894736842102</c:v>
                </c:pt>
                <c:pt idx="33">
                  <c:v>0.6</c:v>
                </c:pt>
                <c:pt idx="34">
                  <c:v>0.55652173913043479</c:v>
                </c:pt>
                <c:pt idx="35">
                  <c:v>0.69090909090909092</c:v>
                </c:pt>
                <c:pt idx="36">
                  <c:v>0.58510638297872342</c:v>
                </c:pt>
                <c:pt idx="37">
                  <c:v>0.69230769230769229</c:v>
                </c:pt>
                <c:pt idx="38">
                  <c:v>0.5625</c:v>
                </c:pt>
                <c:pt idx="39">
                  <c:v>0.55000000000000004</c:v>
                </c:pt>
                <c:pt idx="40">
                  <c:v>0.67500000000000004</c:v>
                </c:pt>
                <c:pt idx="41">
                  <c:v>0.58974358974358976</c:v>
                </c:pt>
                <c:pt idx="42">
                  <c:v>0.52941176470588236</c:v>
                </c:pt>
                <c:pt idx="43">
                  <c:v>0.56000000000000005</c:v>
                </c:pt>
                <c:pt idx="44">
                  <c:v>0.70967741935483875</c:v>
                </c:pt>
                <c:pt idx="45">
                  <c:v>0.53846153846153844</c:v>
                </c:pt>
                <c:pt idx="46">
                  <c:v>0.61290322580645162</c:v>
                </c:pt>
                <c:pt idx="47">
                  <c:v>0.56862745098039214</c:v>
                </c:pt>
                <c:pt idx="48">
                  <c:v>0.51333333333333331</c:v>
                </c:pt>
                <c:pt idx="49">
                  <c:v>0.61538461538461542</c:v>
                </c:pt>
                <c:pt idx="50">
                  <c:v>0.49242424242424243</c:v>
                </c:pt>
                <c:pt idx="51">
                  <c:v>0.50819672131147542</c:v>
                </c:pt>
                <c:pt idx="52">
                  <c:v>0.6428571428571429</c:v>
                </c:pt>
                <c:pt idx="53">
                  <c:v>0.53846153846153844</c:v>
                </c:pt>
                <c:pt idx="54">
                  <c:v>0.5</c:v>
                </c:pt>
                <c:pt idx="55">
                  <c:v>0.52</c:v>
                </c:pt>
                <c:pt idx="56">
                  <c:v>0.49180327868852458</c:v>
                </c:pt>
                <c:pt idx="57">
                  <c:v>0.57894736842105265</c:v>
                </c:pt>
                <c:pt idx="58">
                  <c:v>0.5</c:v>
                </c:pt>
                <c:pt idx="59">
                  <c:v>0.5641025641025641</c:v>
                </c:pt>
                <c:pt idx="60">
                  <c:v>0.44</c:v>
                </c:pt>
                <c:pt idx="61">
                  <c:v>0.44</c:v>
                </c:pt>
                <c:pt idx="62">
                  <c:v>0.43333333333333335</c:v>
                </c:pt>
                <c:pt idx="63">
                  <c:v>0.48</c:v>
                </c:pt>
                <c:pt idx="64">
                  <c:v>0.43243243243243246</c:v>
                </c:pt>
                <c:pt idx="65">
                  <c:v>0.45652173913043476</c:v>
                </c:pt>
                <c:pt idx="66">
                  <c:v>0.33333333333333331</c:v>
                </c:pt>
                <c:pt idx="67">
                  <c:v>0.48</c:v>
                </c:pt>
                <c:pt idx="68">
                  <c:v>0.46153846153846156</c:v>
                </c:pt>
                <c:pt idx="69">
                  <c:v>0.41666666666666669</c:v>
                </c:pt>
                <c:pt idx="70">
                  <c:v>0.33333333333333331</c:v>
                </c:pt>
                <c:pt idx="71">
                  <c:v>0.44594594594594594</c:v>
                </c:pt>
                <c:pt idx="72">
                  <c:v>0.32653061224489793</c:v>
                </c:pt>
                <c:pt idx="73">
                  <c:v>0.3235294117647059</c:v>
                </c:pt>
                <c:pt idx="74">
                  <c:v>0.33333333333333331</c:v>
                </c:pt>
                <c:pt idx="75">
                  <c:v>0.41666666666666669</c:v>
                </c:pt>
                <c:pt idx="76">
                  <c:v>0.25</c:v>
                </c:pt>
                <c:pt idx="77">
                  <c:v>0.16666666666666666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5-4F0A-9BD9-E15A36EA4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975232"/>
        <c:axId val="1690976192"/>
      </c:scatterChart>
      <c:valAx>
        <c:axId val="169097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76192"/>
        <c:crosses val="autoZero"/>
        <c:crossBetween val="midCat"/>
      </c:valAx>
      <c:valAx>
        <c:axId val="16909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7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Win % based on Current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Sheet1!$AC$1</c:f>
              <c:strCache>
                <c:ptCount val="1"/>
                <c:pt idx="0">
                  <c:v>Current Win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084953376735268E-2"/>
                  <c:y val="-6.23493172303180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Sheet1!$H$2:$H$79</c:f>
              <c:numCache>
                <c:formatCode>General</c:formatCode>
                <c:ptCount val="78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18</c:v>
                </c:pt>
                <c:pt idx="7">
                  <c:v>10</c:v>
                </c:pt>
                <c:pt idx="8">
                  <c:v>8</c:v>
                </c:pt>
                <c:pt idx="9">
                  <c:v>2.5</c:v>
                </c:pt>
                <c:pt idx="10">
                  <c:v>20</c:v>
                </c:pt>
                <c:pt idx="11">
                  <c:v>4</c:v>
                </c:pt>
                <c:pt idx="12">
                  <c:v>21</c:v>
                </c:pt>
                <c:pt idx="13">
                  <c:v>2</c:v>
                </c:pt>
                <c:pt idx="14">
                  <c:v>2</c:v>
                </c:pt>
                <c:pt idx="15">
                  <c:v>26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11</c:v>
                </c:pt>
                <c:pt idx="22">
                  <c:v>2</c:v>
                </c:pt>
                <c:pt idx="23">
                  <c:v>12</c:v>
                </c:pt>
                <c:pt idx="24">
                  <c:v>6</c:v>
                </c:pt>
                <c:pt idx="25">
                  <c:v>8</c:v>
                </c:pt>
                <c:pt idx="26">
                  <c:v>19</c:v>
                </c:pt>
                <c:pt idx="27">
                  <c:v>3</c:v>
                </c:pt>
                <c:pt idx="28">
                  <c:v>4</c:v>
                </c:pt>
                <c:pt idx="29">
                  <c:v>10</c:v>
                </c:pt>
                <c:pt idx="30">
                  <c:v>13</c:v>
                </c:pt>
                <c:pt idx="31">
                  <c:v>12</c:v>
                </c:pt>
                <c:pt idx="32">
                  <c:v>8</c:v>
                </c:pt>
                <c:pt idx="33">
                  <c:v>7</c:v>
                </c:pt>
                <c:pt idx="34">
                  <c:v>10</c:v>
                </c:pt>
                <c:pt idx="35">
                  <c:v>5</c:v>
                </c:pt>
                <c:pt idx="36">
                  <c:v>9</c:v>
                </c:pt>
                <c:pt idx="37">
                  <c:v>2</c:v>
                </c:pt>
                <c:pt idx="38">
                  <c:v>11</c:v>
                </c:pt>
                <c:pt idx="39">
                  <c:v>6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5</c:v>
                </c:pt>
                <c:pt idx="44">
                  <c:v>6</c:v>
                </c:pt>
                <c:pt idx="45">
                  <c:v>3</c:v>
                </c:pt>
                <c:pt idx="46">
                  <c:v>6</c:v>
                </c:pt>
                <c:pt idx="47">
                  <c:v>5</c:v>
                </c:pt>
                <c:pt idx="48">
                  <c:v>13</c:v>
                </c:pt>
                <c:pt idx="49">
                  <c:v>2</c:v>
                </c:pt>
                <c:pt idx="50">
                  <c:v>12</c:v>
                </c:pt>
                <c:pt idx="51">
                  <c:v>6</c:v>
                </c:pt>
                <c:pt idx="52">
                  <c:v>3</c:v>
                </c:pt>
                <c:pt idx="53">
                  <c:v>2</c:v>
                </c:pt>
                <c:pt idx="54">
                  <c:v>4</c:v>
                </c:pt>
                <c:pt idx="55">
                  <c:v>3</c:v>
                </c:pt>
                <c:pt idx="56">
                  <c:v>6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</c:v>
                </c:pt>
                <c:pt idx="61">
                  <c:v>5</c:v>
                </c:pt>
                <c:pt idx="62">
                  <c:v>6</c:v>
                </c:pt>
                <c:pt idx="63">
                  <c:v>3</c:v>
                </c:pt>
                <c:pt idx="64">
                  <c:v>4</c:v>
                </c:pt>
                <c:pt idx="65">
                  <c:v>9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3</c:v>
                </c:pt>
                <c:pt idx="71">
                  <c:v>7</c:v>
                </c:pt>
                <c:pt idx="72">
                  <c:v>5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</c:numCache>
            </c:numRef>
          </c:xVal>
          <c:yVal>
            <c:numRef>
              <c:f>Sheet1!$AC$2:$AC$79</c:f>
              <c:numCache>
                <c:formatCode>General</c:formatCode>
                <c:ptCount val="78"/>
                <c:pt idx="0">
                  <c:v>0</c:v>
                </c:pt>
                <c:pt idx="1">
                  <c:v>0.61538461538461542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0.79295154185022021</c:v>
                </c:pt>
                <c:pt idx="7">
                  <c:v>0.84677419354838712</c:v>
                </c:pt>
                <c:pt idx="8">
                  <c:v>0.875</c:v>
                </c:pt>
                <c:pt idx="9">
                  <c:v>0.83333333333333337</c:v>
                </c:pt>
                <c:pt idx="10">
                  <c:v>0.65758754863813229</c:v>
                </c:pt>
                <c:pt idx="11">
                  <c:v>0.85365853658536583</c:v>
                </c:pt>
                <c:pt idx="12">
                  <c:v>0.66007905138339917</c:v>
                </c:pt>
                <c:pt idx="13">
                  <c:v>0.84615384615384615</c:v>
                </c:pt>
                <c:pt idx="14">
                  <c:v>0.76923076923076927</c:v>
                </c:pt>
                <c:pt idx="15">
                  <c:v>0.62424242424242427</c:v>
                </c:pt>
                <c:pt idx="16">
                  <c:v>0.80769230769230771</c:v>
                </c:pt>
                <c:pt idx="17">
                  <c:v>0.69230769230769229</c:v>
                </c:pt>
                <c:pt idx="18">
                  <c:v>0.65</c:v>
                </c:pt>
                <c:pt idx="19">
                  <c:v>0.70731707317073167</c:v>
                </c:pt>
                <c:pt idx="20">
                  <c:v>0.71153846153846156</c:v>
                </c:pt>
                <c:pt idx="21">
                  <c:v>0.64601769911504425</c:v>
                </c:pt>
                <c:pt idx="22">
                  <c:v>0.6428571428571429</c:v>
                </c:pt>
                <c:pt idx="23">
                  <c:v>0.70629370629370625</c:v>
                </c:pt>
                <c:pt idx="24">
                  <c:v>0.69696969696969702</c:v>
                </c:pt>
                <c:pt idx="25">
                  <c:v>0.58904109589041098</c:v>
                </c:pt>
                <c:pt idx="26">
                  <c:v>0.6026785714285714</c:v>
                </c:pt>
                <c:pt idx="27">
                  <c:v>0.70370370370370372</c:v>
                </c:pt>
                <c:pt idx="28">
                  <c:v>0.72499999999999998</c:v>
                </c:pt>
                <c:pt idx="29">
                  <c:v>0.62608695652173918</c:v>
                </c:pt>
                <c:pt idx="30">
                  <c:v>0.57236842105263153</c:v>
                </c:pt>
                <c:pt idx="31">
                  <c:v>0.58992805755395683</c:v>
                </c:pt>
                <c:pt idx="32">
                  <c:v>0.63157894736842102</c:v>
                </c:pt>
                <c:pt idx="33">
                  <c:v>0.6</c:v>
                </c:pt>
                <c:pt idx="34">
                  <c:v>0.55652173913043479</c:v>
                </c:pt>
                <c:pt idx="35">
                  <c:v>0.69090909090909092</c:v>
                </c:pt>
                <c:pt idx="36">
                  <c:v>0.58510638297872342</c:v>
                </c:pt>
                <c:pt idx="37">
                  <c:v>0.69230769230769229</c:v>
                </c:pt>
                <c:pt idx="38">
                  <c:v>0.5625</c:v>
                </c:pt>
                <c:pt idx="39">
                  <c:v>0.55000000000000004</c:v>
                </c:pt>
                <c:pt idx="40">
                  <c:v>0.67500000000000004</c:v>
                </c:pt>
                <c:pt idx="41">
                  <c:v>0.58974358974358976</c:v>
                </c:pt>
                <c:pt idx="42">
                  <c:v>0.52941176470588236</c:v>
                </c:pt>
                <c:pt idx="43">
                  <c:v>0.56000000000000005</c:v>
                </c:pt>
                <c:pt idx="44">
                  <c:v>0.70967741935483875</c:v>
                </c:pt>
                <c:pt idx="45">
                  <c:v>0.53846153846153844</c:v>
                </c:pt>
                <c:pt idx="46">
                  <c:v>0.61290322580645162</c:v>
                </c:pt>
                <c:pt idx="47">
                  <c:v>0.56862745098039214</c:v>
                </c:pt>
                <c:pt idx="48">
                  <c:v>0.51333333333333331</c:v>
                </c:pt>
                <c:pt idx="49">
                  <c:v>0.61538461538461542</c:v>
                </c:pt>
                <c:pt idx="50">
                  <c:v>0.49242424242424243</c:v>
                </c:pt>
                <c:pt idx="51">
                  <c:v>0.50819672131147542</c:v>
                </c:pt>
                <c:pt idx="52">
                  <c:v>0.6428571428571429</c:v>
                </c:pt>
                <c:pt idx="53">
                  <c:v>0.53846153846153844</c:v>
                </c:pt>
                <c:pt idx="54">
                  <c:v>0.5</c:v>
                </c:pt>
                <c:pt idx="55">
                  <c:v>0.52</c:v>
                </c:pt>
                <c:pt idx="56">
                  <c:v>0.49180327868852458</c:v>
                </c:pt>
                <c:pt idx="57">
                  <c:v>0.57894736842105265</c:v>
                </c:pt>
                <c:pt idx="58">
                  <c:v>0.5</c:v>
                </c:pt>
                <c:pt idx="59">
                  <c:v>0.5641025641025641</c:v>
                </c:pt>
                <c:pt idx="60">
                  <c:v>0.44</c:v>
                </c:pt>
                <c:pt idx="61">
                  <c:v>0.44</c:v>
                </c:pt>
                <c:pt idx="62">
                  <c:v>0.43333333333333335</c:v>
                </c:pt>
                <c:pt idx="63">
                  <c:v>0.48</c:v>
                </c:pt>
                <c:pt idx="64">
                  <c:v>0.43243243243243246</c:v>
                </c:pt>
                <c:pt idx="65">
                  <c:v>0.45652173913043476</c:v>
                </c:pt>
                <c:pt idx="66">
                  <c:v>0.33333333333333331</c:v>
                </c:pt>
                <c:pt idx="67">
                  <c:v>0.48</c:v>
                </c:pt>
                <c:pt idx="68">
                  <c:v>0.46153846153846156</c:v>
                </c:pt>
                <c:pt idx="69">
                  <c:v>0.41666666666666669</c:v>
                </c:pt>
                <c:pt idx="70">
                  <c:v>0.33333333333333331</c:v>
                </c:pt>
                <c:pt idx="71">
                  <c:v>0.44594594594594594</c:v>
                </c:pt>
                <c:pt idx="72">
                  <c:v>0.32653061224489793</c:v>
                </c:pt>
                <c:pt idx="73">
                  <c:v>0.3235294117647059</c:v>
                </c:pt>
                <c:pt idx="74">
                  <c:v>0.33333333333333331</c:v>
                </c:pt>
                <c:pt idx="75">
                  <c:v>0.41666666666666669</c:v>
                </c:pt>
                <c:pt idx="76">
                  <c:v>0.25</c:v>
                </c:pt>
                <c:pt idx="77">
                  <c:v>0.16666666666666666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7-4030-A9DC-9DF8B43D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761488"/>
        <c:axId val="1692741808"/>
      </c:scatterChart>
      <c:valAx>
        <c:axId val="169276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41808"/>
        <c:crosses val="autoZero"/>
        <c:crossBetween val="midCat"/>
      </c:valAx>
      <c:valAx>
        <c:axId val="16927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Win % based on Conference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Sheet1!$AC$1</c:f>
              <c:strCache>
                <c:ptCount val="1"/>
                <c:pt idx="0">
                  <c:v>Current Win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2247945643978551E-4"/>
                  <c:y val="6.6636045494313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Sheet1!$C$2:$C$79</c:f>
              <c:numCache>
                <c:formatCode>General</c:formatCode>
                <c:ptCount val="78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3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</c:numCache>
            </c:numRef>
          </c:xVal>
          <c:yVal>
            <c:numRef>
              <c:f>Sheet1!$AC$2:$AC$79</c:f>
              <c:numCache>
                <c:formatCode>General</c:formatCode>
                <c:ptCount val="78"/>
                <c:pt idx="0">
                  <c:v>0</c:v>
                </c:pt>
                <c:pt idx="1">
                  <c:v>0.61538461538461542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0.79295154185022021</c:v>
                </c:pt>
                <c:pt idx="7">
                  <c:v>0.84677419354838712</c:v>
                </c:pt>
                <c:pt idx="8">
                  <c:v>0.875</c:v>
                </c:pt>
                <c:pt idx="9">
                  <c:v>0.83333333333333337</c:v>
                </c:pt>
                <c:pt idx="10">
                  <c:v>0.65758754863813229</c:v>
                </c:pt>
                <c:pt idx="11">
                  <c:v>0.85365853658536583</c:v>
                </c:pt>
                <c:pt idx="12">
                  <c:v>0.66007905138339917</c:v>
                </c:pt>
                <c:pt idx="13">
                  <c:v>0.84615384615384615</c:v>
                </c:pt>
                <c:pt idx="14">
                  <c:v>0.76923076923076927</c:v>
                </c:pt>
                <c:pt idx="15">
                  <c:v>0.62424242424242427</c:v>
                </c:pt>
                <c:pt idx="16">
                  <c:v>0.80769230769230771</c:v>
                </c:pt>
                <c:pt idx="17">
                  <c:v>0.69230769230769229</c:v>
                </c:pt>
                <c:pt idx="18">
                  <c:v>0.65</c:v>
                </c:pt>
                <c:pt idx="19">
                  <c:v>0.70731707317073167</c:v>
                </c:pt>
                <c:pt idx="20">
                  <c:v>0.71153846153846156</c:v>
                </c:pt>
                <c:pt idx="21">
                  <c:v>0.64601769911504425</c:v>
                </c:pt>
                <c:pt idx="22">
                  <c:v>0.6428571428571429</c:v>
                </c:pt>
                <c:pt idx="23">
                  <c:v>0.70629370629370625</c:v>
                </c:pt>
                <c:pt idx="24">
                  <c:v>0.69696969696969702</c:v>
                </c:pt>
                <c:pt idx="25">
                  <c:v>0.58904109589041098</c:v>
                </c:pt>
                <c:pt idx="26">
                  <c:v>0.6026785714285714</c:v>
                </c:pt>
                <c:pt idx="27">
                  <c:v>0.70370370370370372</c:v>
                </c:pt>
                <c:pt idx="28">
                  <c:v>0.72499999999999998</c:v>
                </c:pt>
                <c:pt idx="29">
                  <c:v>0.62608695652173918</c:v>
                </c:pt>
                <c:pt idx="30">
                  <c:v>0.57236842105263153</c:v>
                </c:pt>
                <c:pt idx="31">
                  <c:v>0.58992805755395683</c:v>
                </c:pt>
                <c:pt idx="32">
                  <c:v>0.63157894736842102</c:v>
                </c:pt>
                <c:pt idx="33">
                  <c:v>0.6</c:v>
                </c:pt>
                <c:pt idx="34">
                  <c:v>0.55652173913043479</c:v>
                </c:pt>
                <c:pt idx="35">
                  <c:v>0.69090909090909092</c:v>
                </c:pt>
                <c:pt idx="36">
                  <c:v>0.58510638297872342</c:v>
                </c:pt>
                <c:pt idx="37">
                  <c:v>0.69230769230769229</c:v>
                </c:pt>
                <c:pt idx="38">
                  <c:v>0.5625</c:v>
                </c:pt>
                <c:pt idx="39">
                  <c:v>0.55000000000000004</c:v>
                </c:pt>
                <c:pt idx="40">
                  <c:v>0.67500000000000004</c:v>
                </c:pt>
                <c:pt idx="41">
                  <c:v>0.58974358974358976</c:v>
                </c:pt>
                <c:pt idx="42">
                  <c:v>0.52941176470588236</c:v>
                </c:pt>
                <c:pt idx="43">
                  <c:v>0.56000000000000005</c:v>
                </c:pt>
                <c:pt idx="44">
                  <c:v>0.70967741935483875</c:v>
                </c:pt>
                <c:pt idx="45">
                  <c:v>0.53846153846153844</c:v>
                </c:pt>
                <c:pt idx="46">
                  <c:v>0.61290322580645162</c:v>
                </c:pt>
                <c:pt idx="47">
                  <c:v>0.56862745098039214</c:v>
                </c:pt>
                <c:pt idx="48">
                  <c:v>0.51333333333333331</c:v>
                </c:pt>
                <c:pt idx="49">
                  <c:v>0.61538461538461542</c:v>
                </c:pt>
                <c:pt idx="50">
                  <c:v>0.49242424242424243</c:v>
                </c:pt>
                <c:pt idx="51">
                  <c:v>0.50819672131147542</c:v>
                </c:pt>
                <c:pt idx="52">
                  <c:v>0.6428571428571429</c:v>
                </c:pt>
                <c:pt idx="53">
                  <c:v>0.53846153846153844</c:v>
                </c:pt>
                <c:pt idx="54">
                  <c:v>0.5</c:v>
                </c:pt>
                <c:pt idx="55">
                  <c:v>0.52</c:v>
                </c:pt>
                <c:pt idx="56">
                  <c:v>0.49180327868852458</c:v>
                </c:pt>
                <c:pt idx="57">
                  <c:v>0.57894736842105265</c:v>
                </c:pt>
                <c:pt idx="58">
                  <c:v>0.5</c:v>
                </c:pt>
                <c:pt idx="59">
                  <c:v>0.5641025641025641</c:v>
                </c:pt>
                <c:pt idx="60">
                  <c:v>0.44</c:v>
                </c:pt>
                <c:pt idx="61">
                  <c:v>0.44</c:v>
                </c:pt>
                <c:pt idx="62">
                  <c:v>0.43333333333333335</c:v>
                </c:pt>
                <c:pt idx="63">
                  <c:v>0.48</c:v>
                </c:pt>
                <c:pt idx="64">
                  <c:v>0.43243243243243246</c:v>
                </c:pt>
                <c:pt idx="65">
                  <c:v>0.45652173913043476</c:v>
                </c:pt>
                <c:pt idx="66">
                  <c:v>0.33333333333333331</c:v>
                </c:pt>
                <c:pt idx="67">
                  <c:v>0.48</c:v>
                </c:pt>
                <c:pt idx="68">
                  <c:v>0.46153846153846156</c:v>
                </c:pt>
                <c:pt idx="69">
                  <c:v>0.41666666666666669</c:v>
                </c:pt>
                <c:pt idx="70">
                  <c:v>0.33333333333333331</c:v>
                </c:pt>
                <c:pt idx="71">
                  <c:v>0.44594594594594594</c:v>
                </c:pt>
                <c:pt idx="72">
                  <c:v>0.32653061224489793</c:v>
                </c:pt>
                <c:pt idx="73">
                  <c:v>0.3235294117647059</c:v>
                </c:pt>
                <c:pt idx="74">
                  <c:v>0.33333333333333331</c:v>
                </c:pt>
                <c:pt idx="75">
                  <c:v>0.41666666666666669</c:v>
                </c:pt>
                <c:pt idx="76">
                  <c:v>0.25</c:v>
                </c:pt>
                <c:pt idx="77">
                  <c:v>0.16666666666666666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1-4947-88A8-106E2BC3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107856"/>
        <c:axId val="1693106896"/>
      </c:scatterChart>
      <c:valAx>
        <c:axId val="169310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06896"/>
        <c:crosses val="autoZero"/>
        <c:crossBetween val="midCat"/>
      </c:valAx>
      <c:valAx>
        <c:axId val="16931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0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T25 win % vs T25 Games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T25 win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9286089238845143E-2"/>
                  <c:y val="0.125176436278798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Sheet1!$O$2:$O$79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49</c:v>
                </c:pt>
                <c:pt idx="4">
                  <c:v>17</c:v>
                </c:pt>
                <c:pt idx="5">
                  <c:v>14</c:v>
                </c:pt>
                <c:pt idx="6">
                  <c:v>56</c:v>
                </c:pt>
                <c:pt idx="7">
                  <c:v>39</c:v>
                </c:pt>
                <c:pt idx="8">
                  <c:v>33</c:v>
                </c:pt>
                <c:pt idx="9">
                  <c:v>3</c:v>
                </c:pt>
                <c:pt idx="10">
                  <c:v>85</c:v>
                </c:pt>
                <c:pt idx="11">
                  <c:v>16</c:v>
                </c:pt>
                <c:pt idx="12">
                  <c:v>59</c:v>
                </c:pt>
                <c:pt idx="13">
                  <c:v>4</c:v>
                </c:pt>
                <c:pt idx="14">
                  <c:v>4</c:v>
                </c:pt>
                <c:pt idx="15">
                  <c:v>89</c:v>
                </c:pt>
                <c:pt idx="16">
                  <c:v>3</c:v>
                </c:pt>
                <c:pt idx="17">
                  <c:v>18</c:v>
                </c:pt>
                <c:pt idx="18">
                  <c:v>33</c:v>
                </c:pt>
                <c:pt idx="19">
                  <c:v>7</c:v>
                </c:pt>
                <c:pt idx="20">
                  <c:v>21</c:v>
                </c:pt>
                <c:pt idx="21">
                  <c:v>7</c:v>
                </c:pt>
                <c:pt idx="22">
                  <c:v>5</c:v>
                </c:pt>
                <c:pt idx="23">
                  <c:v>52</c:v>
                </c:pt>
                <c:pt idx="24">
                  <c:v>8</c:v>
                </c:pt>
                <c:pt idx="25">
                  <c:v>63</c:v>
                </c:pt>
                <c:pt idx="26">
                  <c:v>20</c:v>
                </c:pt>
                <c:pt idx="27">
                  <c:v>23</c:v>
                </c:pt>
                <c:pt idx="28">
                  <c:v>72</c:v>
                </c:pt>
                <c:pt idx="29">
                  <c:v>19</c:v>
                </c:pt>
                <c:pt idx="30">
                  <c:v>36</c:v>
                </c:pt>
                <c:pt idx="31">
                  <c:v>12</c:v>
                </c:pt>
                <c:pt idx="32">
                  <c:v>20</c:v>
                </c:pt>
                <c:pt idx="33">
                  <c:v>3</c:v>
                </c:pt>
                <c:pt idx="34">
                  <c:v>9</c:v>
                </c:pt>
                <c:pt idx="35">
                  <c:v>35</c:v>
                </c:pt>
                <c:pt idx="36">
                  <c:v>27</c:v>
                </c:pt>
                <c:pt idx="37">
                  <c:v>11</c:v>
                </c:pt>
                <c:pt idx="38">
                  <c:v>23</c:v>
                </c:pt>
                <c:pt idx="39">
                  <c:v>24</c:v>
                </c:pt>
                <c:pt idx="40">
                  <c:v>43</c:v>
                </c:pt>
                <c:pt idx="41">
                  <c:v>11</c:v>
                </c:pt>
                <c:pt idx="42">
                  <c:v>7</c:v>
                </c:pt>
                <c:pt idx="43">
                  <c:v>64</c:v>
                </c:pt>
                <c:pt idx="44">
                  <c:v>18</c:v>
                </c:pt>
                <c:pt idx="45">
                  <c:v>10</c:v>
                </c:pt>
                <c:pt idx="46">
                  <c:v>8</c:v>
                </c:pt>
                <c:pt idx="47">
                  <c:v>18</c:v>
                </c:pt>
                <c:pt idx="48">
                  <c:v>46</c:v>
                </c:pt>
                <c:pt idx="49">
                  <c:v>9</c:v>
                </c:pt>
                <c:pt idx="50">
                  <c:v>7</c:v>
                </c:pt>
                <c:pt idx="51">
                  <c:v>19</c:v>
                </c:pt>
                <c:pt idx="52">
                  <c:v>8</c:v>
                </c:pt>
                <c:pt idx="53">
                  <c:v>8</c:v>
                </c:pt>
                <c:pt idx="54">
                  <c:v>26</c:v>
                </c:pt>
                <c:pt idx="55">
                  <c:v>8</c:v>
                </c:pt>
                <c:pt idx="56">
                  <c:v>25</c:v>
                </c:pt>
                <c:pt idx="57">
                  <c:v>25</c:v>
                </c:pt>
                <c:pt idx="58">
                  <c:v>23</c:v>
                </c:pt>
                <c:pt idx="59">
                  <c:v>8</c:v>
                </c:pt>
                <c:pt idx="60">
                  <c:v>34</c:v>
                </c:pt>
                <c:pt idx="61">
                  <c:v>15</c:v>
                </c:pt>
                <c:pt idx="62">
                  <c:v>36</c:v>
                </c:pt>
                <c:pt idx="63">
                  <c:v>5</c:v>
                </c:pt>
                <c:pt idx="64">
                  <c:v>7</c:v>
                </c:pt>
                <c:pt idx="65">
                  <c:v>23</c:v>
                </c:pt>
                <c:pt idx="66">
                  <c:v>19</c:v>
                </c:pt>
                <c:pt idx="67">
                  <c:v>24</c:v>
                </c:pt>
                <c:pt idx="68">
                  <c:v>16</c:v>
                </c:pt>
                <c:pt idx="69">
                  <c:v>18</c:v>
                </c:pt>
                <c:pt idx="70">
                  <c:v>17</c:v>
                </c:pt>
                <c:pt idx="71">
                  <c:v>30</c:v>
                </c:pt>
                <c:pt idx="72">
                  <c:v>16</c:v>
                </c:pt>
                <c:pt idx="73">
                  <c:v>8</c:v>
                </c:pt>
                <c:pt idx="74">
                  <c:v>10</c:v>
                </c:pt>
                <c:pt idx="75">
                  <c:v>3</c:v>
                </c:pt>
                <c:pt idx="76">
                  <c:v>8</c:v>
                </c:pt>
                <c:pt idx="77">
                  <c:v>6</c:v>
                </c:pt>
              </c:numCache>
            </c:numRef>
          </c:xVal>
          <c:yVal>
            <c:numRef>
              <c:f>Sheet1!$AH$2:$AH$79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0.27272727272727271</c:v>
                </c:pt>
                <c:pt idx="3">
                  <c:v>0.14285714285714285</c:v>
                </c:pt>
                <c:pt idx="4">
                  <c:v>0.11764705882352941</c:v>
                </c:pt>
                <c:pt idx="5">
                  <c:v>7.1428571428571425E-2</c:v>
                </c:pt>
                <c:pt idx="6">
                  <c:v>0.7142857142857143</c:v>
                </c:pt>
                <c:pt idx="7">
                  <c:v>0.71794871794871795</c:v>
                </c:pt>
                <c:pt idx="8">
                  <c:v>0.72727272727272729</c:v>
                </c:pt>
                <c:pt idx="9">
                  <c:v>0.33333333333333331</c:v>
                </c:pt>
                <c:pt idx="10">
                  <c:v>0.45882352941176469</c:v>
                </c:pt>
                <c:pt idx="11">
                  <c:v>0.625</c:v>
                </c:pt>
                <c:pt idx="12">
                  <c:v>0.38983050847457629</c:v>
                </c:pt>
                <c:pt idx="13">
                  <c:v>0.5</c:v>
                </c:pt>
                <c:pt idx="14">
                  <c:v>0.75</c:v>
                </c:pt>
                <c:pt idx="15">
                  <c:v>0.3707865168539326</c:v>
                </c:pt>
                <c:pt idx="16">
                  <c:v>0.33333333333333331</c:v>
                </c:pt>
                <c:pt idx="17">
                  <c:v>0.83333333333333337</c:v>
                </c:pt>
                <c:pt idx="18">
                  <c:v>0.54545454545454541</c:v>
                </c:pt>
                <c:pt idx="19">
                  <c:v>0.2857142857142857</c:v>
                </c:pt>
                <c:pt idx="20">
                  <c:v>0.52380952380952384</c:v>
                </c:pt>
                <c:pt idx="21">
                  <c:v>0.2857142857142857</c:v>
                </c:pt>
                <c:pt idx="22">
                  <c:v>0</c:v>
                </c:pt>
                <c:pt idx="23">
                  <c:v>0.30769230769230771</c:v>
                </c:pt>
                <c:pt idx="24">
                  <c:v>0</c:v>
                </c:pt>
                <c:pt idx="25">
                  <c:v>0.33333333333333331</c:v>
                </c:pt>
                <c:pt idx="26">
                  <c:v>0.05</c:v>
                </c:pt>
                <c:pt idx="27">
                  <c:v>0.47826086956521741</c:v>
                </c:pt>
                <c:pt idx="28">
                  <c:v>0.4861111111111111</c:v>
                </c:pt>
                <c:pt idx="29">
                  <c:v>0.42105263157894735</c:v>
                </c:pt>
                <c:pt idx="30">
                  <c:v>0.22222222222222221</c:v>
                </c:pt>
                <c:pt idx="31">
                  <c:v>0.16666666666666666</c:v>
                </c:pt>
                <c:pt idx="32">
                  <c:v>0.5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0.37142857142857144</c:v>
                </c:pt>
                <c:pt idx="36">
                  <c:v>0.25925925925925924</c:v>
                </c:pt>
                <c:pt idx="37">
                  <c:v>0.36363636363636365</c:v>
                </c:pt>
                <c:pt idx="38">
                  <c:v>0.2608695652173913</c:v>
                </c:pt>
                <c:pt idx="39">
                  <c:v>0.33333333333333331</c:v>
                </c:pt>
                <c:pt idx="40">
                  <c:v>0.2558139534883721</c:v>
                </c:pt>
                <c:pt idx="41">
                  <c:v>0.36363636363636365</c:v>
                </c:pt>
                <c:pt idx="42">
                  <c:v>0.8571428571428571</c:v>
                </c:pt>
                <c:pt idx="43">
                  <c:v>0.34375</c:v>
                </c:pt>
                <c:pt idx="44">
                  <c:v>0.16666666666666666</c:v>
                </c:pt>
                <c:pt idx="45">
                  <c:v>0.4</c:v>
                </c:pt>
                <c:pt idx="46">
                  <c:v>0.125</c:v>
                </c:pt>
                <c:pt idx="47">
                  <c:v>0.33333333333333331</c:v>
                </c:pt>
                <c:pt idx="48">
                  <c:v>0.2391304347826087</c:v>
                </c:pt>
                <c:pt idx="49">
                  <c:v>0.33333333333333331</c:v>
                </c:pt>
                <c:pt idx="50">
                  <c:v>0</c:v>
                </c:pt>
                <c:pt idx="51">
                  <c:v>0.26315789473684209</c:v>
                </c:pt>
                <c:pt idx="52">
                  <c:v>0.5</c:v>
                </c:pt>
                <c:pt idx="53">
                  <c:v>0.5</c:v>
                </c:pt>
                <c:pt idx="54">
                  <c:v>0.30769230769230771</c:v>
                </c:pt>
                <c:pt idx="55">
                  <c:v>0.125</c:v>
                </c:pt>
                <c:pt idx="56">
                  <c:v>0.24</c:v>
                </c:pt>
                <c:pt idx="57">
                  <c:v>0.32</c:v>
                </c:pt>
                <c:pt idx="58">
                  <c:v>0.21739130434782608</c:v>
                </c:pt>
                <c:pt idx="59">
                  <c:v>0.375</c:v>
                </c:pt>
                <c:pt idx="60">
                  <c:v>0.3235294117647059</c:v>
                </c:pt>
                <c:pt idx="61">
                  <c:v>0.33333333333333331</c:v>
                </c:pt>
                <c:pt idx="62">
                  <c:v>0.1111111111111111</c:v>
                </c:pt>
                <c:pt idx="63">
                  <c:v>0</c:v>
                </c:pt>
                <c:pt idx="64">
                  <c:v>0</c:v>
                </c:pt>
                <c:pt idx="65">
                  <c:v>0.13043478260869565</c:v>
                </c:pt>
                <c:pt idx="66">
                  <c:v>0.21052631578947367</c:v>
                </c:pt>
                <c:pt idx="67">
                  <c:v>8.3333333333333329E-2</c:v>
                </c:pt>
                <c:pt idx="68">
                  <c:v>0.375</c:v>
                </c:pt>
                <c:pt idx="69">
                  <c:v>0.22222222222222221</c:v>
                </c:pt>
                <c:pt idx="70">
                  <c:v>0.11764705882352941</c:v>
                </c:pt>
                <c:pt idx="71">
                  <c:v>6.6666666666666666E-2</c:v>
                </c:pt>
                <c:pt idx="72">
                  <c:v>0.125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2-4F2C-BBA5-8EB860CBF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497263"/>
        <c:axId val="1407490543"/>
      </c:scatterChart>
      <c:valAx>
        <c:axId val="140749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90543"/>
        <c:crosses val="autoZero"/>
        <c:crossBetween val="midCat"/>
      </c:valAx>
      <c:valAx>
        <c:axId val="14074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9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T25 win % vs T25 wins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T25 win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1969457396132448E-2"/>
                  <c:y val="0.114385389326334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40</c:v>
                </c:pt>
                <c:pt idx="7">
                  <c:v>28</c:v>
                </c:pt>
                <c:pt idx="8">
                  <c:v>24</c:v>
                </c:pt>
                <c:pt idx="9">
                  <c:v>1</c:v>
                </c:pt>
                <c:pt idx="10">
                  <c:v>39</c:v>
                </c:pt>
                <c:pt idx="11">
                  <c:v>10</c:v>
                </c:pt>
                <c:pt idx="12">
                  <c:v>23</c:v>
                </c:pt>
                <c:pt idx="13">
                  <c:v>2</c:v>
                </c:pt>
                <c:pt idx="14">
                  <c:v>3</c:v>
                </c:pt>
                <c:pt idx="15">
                  <c:v>33</c:v>
                </c:pt>
                <c:pt idx="16">
                  <c:v>1</c:v>
                </c:pt>
                <c:pt idx="17">
                  <c:v>15</c:v>
                </c:pt>
                <c:pt idx="18">
                  <c:v>18</c:v>
                </c:pt>
                <c:pt idx="19">
                  <c:v>2</c:v>
                </c:pt>
                <c:pt idx="20">
                  <c:v>11</c:v>
                </c:pt>
                <c:pt idx="21">
                  <c:v>2</c:v>
                </c:pt>
                <c:pt idx="22">
                  <c:v>0</c:v>
                </c:pt>
                <c:pt idx="23">
                  <c:v>16</c:v>
                </c:pt>
                <c:pt idx="24">
                  <c:v>0</c:v>
                </c:pt>
                <c:pt idx="25">
                  <c:v>21</c:v>
                </c:pt>
                <c:pt idx="26">
                  <c:v>1</c:v>
                </c:pt>
                <c:pt idx="27">
                  <c:v>11</c:v>
                </c:pt>
                <c:pt idx="28">
                  <c:v>35</c:v>
                </c:pt>
                <c:pt idx="29">
                  <c:v>8</c:v>
                </c:pt>
                <c:pt idx="30">
                  <c:v>8</c:v>
                </c:pt>
                <c:pt idx="31">
                  <c:v>2</c:v>
                </c:pt>
                <c:pt idx="32">
                  <c:v>10</c:v>
                </c:pt>
                <c:pt idx="33">
                  <c:v>0</c:v>
                </c:pt>
                <c:pt idx="34">
                  <c:v>3</c:v>
                </c:pt>
                <c:pt idx="35">
                  <c:v>13</c:v>
                </c:pt>
                <c:pt idx="36">
                  <c:v>7</c:v>
                </c:pt>
                <c:pt idx="37">
                  <c:v>4</c:v>
                </c:pt>
                <c:pt idx="38">
                  <c:v>6</c:v>
                </c:pt>
                <c:pt idx="39">
                  <c:v>8</c:v>
                </c:pt>
                <c:pt idx="40">
                  <c:v>11</c:v>
                </c:pt>
                <c:pt idx="41">
                  <c:v>4</c:v>
                </c:pt>
                <c:pt idx="42">
                  <c:v>6</c:v>
                </c:pt>
                <c:pt idx="43">
                  <c:v>22</c:v>
                </c:pt>
                <c:pt idx="44">
                  <c:v>3</c:v>
                </c:pt>
                <c:pt idx="45">
                  <c:v>4</c:v>
                </c:pt>
                <c:pt idx="46">
                  <c:v>1</c:v>
                </c:pt>
                <c:pt idx="47">
                  <c:v>6</c:v>
                </c:pt>
                <c:pt idx="48">
                  <c:v>11</c:v>
                </c:pt>
                <c:pt idx="49">
                  <c:v>3</c:v>
                </c:pt>
                <c:pt idx="50">
                  <c:v>0</c:v>
                </c:pt>
                <c:pt idx="51">
                  <c:v>5</c:v>
                </c:pt>
                <c:pt idx="52">
                  <c:v>4</c:v>
                </c:pt>
                <c:pt idx="53">
                  <c:v>4</c:v>
                </c:pt>
                <c:pt idx="54">
                  <c:v>8</c:v>
                </c:pt>
                <c:pt idx="55">
                  <c:v>1</c:v>
                </c:pt>
                <c:pt idx="56">
                  <c:v>6</c:v>
                </c:pt>
                <c:pt idx="57">
                  <c:v>8</c:v>
                </c:pt>
                <c:pt idx="58">
                  <c:v>5</c:v>
                </c:pt>
                <c:pt idx="59">
                  <c:v>3</c:v>
                </c:pt>
                <c:pt idx="60">
                  <c:v>11</c:v>
                </c:pt>
                <c:pt idx="61">
                  <c:v>5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4</c:v>
                </c:pt>
                <c:pt idx="67">
                  <c:v>2</c:v>
                </c:pt>
                <c:pt idx="68">
                  <c:v>6</c:v>
                </c:pt>
                <c:pt idx="69">
                  <c:v>4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xVal>
          <c:yVal>
            <c:numRef>
              <c:f>Sheet1!$AH$2:$AH$79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0.27272727272727271</c:v>
                </c:pt>
                <c:pt idx="3">
                  <c:v>0.14285714285714285</c:v>
                </c:pt>
                <c:pt idx="4">
                  <c:v>0.11764705882352941</c:v>
                </c:pt>
                <c:pt idx="5">
                  <c:v>7.1428571428571425E-2</c:v>
                </c:pt>
                <c:pt idx="6">
                  <c:v>0.7142857142857143</c:v>
                </c:pt>
                <c:pt idx="7">
                  <c:v>0.71794871794871795</c:v>
                </c:pt>
                <c:pt idx="8">
                  <c:v>0.72727272727272729</c:v>
                </c:pt>
                <c:pt idx="9">
                  <c:v>0.33333333333333331</c:v>
                </c:pt>
                <c:pt idx="10">
                  <c:v>0.45882352941176469</c:v>
                </c:pt>
                <c:pt idx="11">
                  <c:v>0.625</c:v>
                </c:pt>
                <c:pt idx="12">
                  <c:v>0.38983050847457629</c:v>
                </c:pt>
                <c:pt idx="13">
                  <c:v>0.5</c:v>
                </c:pt>
                <c:pt idx="14">
                  <c:v>0.75</c:v>
                </c:pt>
                <c:pt idx="15">
                  <c:v>0.3707865168539326</c:v>
                </c:pt>
                <c:pt idx="16">
                  <c:v>0.33333333333333331</c:v>
                </c:pt>
                <c:pt idx="17">
                  <c:v>0.83333333333333337</c:v>
                </c:pt>
                <c:pt idx="18">
                  <c:v>0.54545454545454541</c:v>
                </c:pt>
                <c:pt idx="19">
                  <c:v>0.2857142857142857</c:v>
                </c:pt>
                <c:pt idx="20">
                  <c:v>0.52380952380952384</c:v>
                </c:pt>
                <c:pt idx="21">
                  <c:v>0.2857142857142857</c:v>
                </c:pt>
                <c:pt idx="22">
                  <c:v>0</c:v>
                </c:pt>
                <c:pt idx="23">
                  <c:v>0.30769230769230771</c:v>
                </c:pt>
                <c:pt idx="24">
                  <c:v>0</c:v>
                </c:pt>
                <c:pt idx="25">
                  <c:v>0.33333333333333331</c:v>
                </c:pt>
                <c:pt idx="26">
                  <c:v>0.05</c:v>
                </c:pt>
                <c:pt idx="27">
                  <c:v>0.47826086956521741</c:v>
                </c:pt>
                <c:pt idx="28">
                  <c:v>0.4861111111111111</c:v>
                </c:pt>
                <c:pt idx="29">
                  <c:v>0.42105263157894735</c:v>
                </c:pt>
                <c:pt idx="30">
                  <c:v>0.22222222222222221</c:v>
                </c:pt>
                <c:pt idx="31">
                  <c:v>0.16666666666666666</c:v>
                </c:pt>
                <c:pt idx="32">
                  <c:v>0.5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0.37142857142857144</c:v>
                </c:pt>
                <c:pt idx="36">
                  <c:v>0.25925925925925924</c:v>
                </c:pt>
                <c:pt idx="37">
                  <c:v>0.36363636363636365</c:v>
                </c:pt>
                <c:pt idx="38">
                  <c:v>0.2608695652173913</c:v>
                </c:pt>
                <c:pt idx="39">
                  <c:v>0.33333333333333331</c:v>
                </c:pt>
                <c:pt idx="40">
                  <c:v>0.2558139534883721</c:v>
                </c:pt>
                <c:pt idx="41">
                  <c:v>0.36363636363636365</c:v>
                </c:pt>
                <c:pt idx="42">
                  <c:v>0.8571428571428571</c:v>
                </c:pt>
                <c:pt idx="43">
                  <c:v>0.34375</c:v>
                </c:pt>
                <c:pt idx="44">
                  <c:v>0.16666666666666666</c:v>
                </c:pt>
                <c:pt idx="45">
                  <c:v>0.4</c:v>
                </c:pt>
                <c:pt idx="46">
                  <c:v>0.125</c:v>
                </c:pt>
                <c:pt idx="47">
                  <c:v>0.33333333333333331</c:v>
                </c:pt>
                <c:pt idx="48">
                  <c:v>0.2391304347826087</c:v>
                </c:pt>
                <c:pt idx="49">
                  <c:v>0.33333333333333331</c:v>
                </c:pt>
                <c:pt idx="50">
                  <c:v>0</c:v>
                </c:pt>
                <c:pt idx="51">
                  <c:v>0.26315789473684209</c:v>
                </c:pt>
                <c:pt idx="52">
                  <c:v>0.5</c:v>
                </c:pt>
                <c:pt idx="53">
                  <c:v>0.5</c:v>
                </c:pt>
                <c:pt idx="54">
                  <c:v>0.30769230769230771</c:v>
                </c:pt>
                <c:pt idx="55">
                  <c:v>0.125</c:v>
                </c:pt>
                <c:pt idx="56">
                  <c:v>0.24</c:v>
                </c:pt>
                <c:pt idx="57">
                  <c:v>0.32</c:v>
                </c:pt>
                <c:pt idx="58">
                  <c:v>0.21739130434782608</c:v>
                </c:pt>
                <c:pt idx="59">
                  <c:v>0.375</c:v>
                </c:pt>
                <c:pt idx="60">
                  <c:v>0.3235294117647059</c:v>
                </c:pt>
                <c:pt idx="61">
                  <c:v>0.33333333333333331</c:v>
                </c:pt>
                <c:pt idx="62">
                  <c:v>0.1111111111111111</c:v>
                </c:pt>
                <c:pt idx="63">
                  <c:v>0</c:v>
                </c:pt>
                <c:pt idx="64">
                  <c:v>0</c:v>
                </c:pt>
                <c:pt idx="65">
                  <c:v>0.13043478260869565</c:v>
                </c:pt>
                <c:pt idx="66">
                  <c:v>0.21052631578947367</c:v>
                </c:pt>
                <c:pt idx="67">
                  <c:v>8.3333333333333329E-2</c:v>
                </c:pt>
                <c:pt idx="68">
                  <c:v>0.375</c:v>
                </c:pt>
                <c:pt idx="69">
                  <c:v>0.22222222222222221</c:v>
                </c:pt>
                <c:pt idx="70">
                  <c:v>0.11764705882352941</c:v>
                </c:pt>
                <c:pt idx="71">
                  <c:v>6.6666666666666666E-2</c:v>
                </c:pt>
                <c:pt idx="72">
                  <c:v>0.125</c:v>
                </c:pt>
                <c:pt idx="73">
                  <c:v>0.25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4-4289-9977-B51FB351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807871"/>
        <c:axId val="1321815071"/>
      </c:scatterChart>
      <c:valAx>
        <c:axId val="13218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15071"/>
        <c:crosses val="autoZero"/>
        <c:crossBetween val="midCat"/>
      </c:valAx>
      <c:valAx>
        <c:axId val="13218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0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9244</xdr:colOff>
      <xdr:row>20</xdr:row>
      <xdr:rowOff>93289</xdr:rowOff>
    </xdr:from>
    <xdr:to>
      <xdr:col>66</xdr:col>
      <xdr:colOff>377077</xdr:colOff>
      <xdr:row>36</xdr:row>
      <xdr:rowOff>69475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6B170271-B288-ACCA-66B9-032AB5F0C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419</xdr:colOff>
      <xdr:row>6</xdr:row>
      <xdr:rowOff>3220</xdr:rowOff>
    </xdr:from>
    <xdr:to>
      <xdr:col>70</xdr:col>
      <xdr:colOff>392064</xdr:colOff>
      <xdr:row>17</xdr:row>
      <xdr:rowOff>160383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FE84D6FA-3EF2-7DC0-513D-59F23BEC5E56}"/>
            </a:ext>
            <a:ext uri="{147F2762-F138-4A5C-976F-8EAC2B608ADB}">
              <a16:predDERef xmlns:a16="http://schemas.microsoft.com/office/drawing/2014/main" pred="{6B170271-B288-ACCA-66B9-032AB5F0C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522054</xdr:colOff>
      <xdr:row>54</xdr:row>
      <xdr:rowOff>125506</xdr:rowOff>
    </xdr:from>
    <xdr:to>
      <xdr:col>65</xdr:col>
      <xdr:colOff>164727</xdr:colOff>
      <xdr:row>69</xdr:row>
      <xdr:rowOff>11206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AE3DB7B8-6BFB-8226-298E-8514C7EDF806}"/>
            </a:ext>
            <a:ext uri="{147F2762-F138-4A5C-976F-8EAC2B608ADB}">
              <a16:predDERef xmlns:a16="http://schemas.microsoft.com/office/drawing/2014/main" pred="{FE84D6FA-3EF2-7DC0-513D-59F23BEC5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88</xdr:col>
      <xdr:colOff>574860</xdr:colOff>
      <xdr:row>99</xdr:row>
      <xdr:rowOff>112058</xdr:rowOff>
    </xdr:from>
    <xdr:to>
      <xdr:col>102</xdr:col>
      <xdr:colOff>350743</xdr:colOff>
      <xdr:row>122</xdr:row>
      <xdr:rowOff>131388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1A3259-E459-9459-4806-B72AEAADE59F}"/>
            </a:ext>
            <a:ext uri="{147F2762-F138-4A5C-976F-8EAC2B608ADB}">
              <a16:predDERef xmlns:a16="http://schemas.microsoft.com/office/drawing/2014/main" pred="{AE3DB7B8-6BFB-8226-298E-8514C7EDF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549085</xdr:colOff>
      <xdr:row>38</xdr:row>
      <xdr:rowOff>73959</xdr:rowOff>
    </xdr:from>
    <xdr:to>
      <xdr:col>67</xdr:col>
      <xdr:colOff>280145</xdr:colOff>
      <xdr:row>52</xdr:row>
      <xdr:rowOff>150159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CAE7B31-CFC1-2823-1CF6-4EB07F29B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eddit.com/r/CFB/comments/etm9bu/coaches_record_vs_ranked_opponents/" TargetMode="External"/><Relationship Id="rId1" Type="http://schemas.openxmlformats.org/officeDocument/2006/relationships/hyperlink" Target="https://247sports.com/longformarticle/college-football-rankings-coaches-with-best-worst-records-against-top-25-teams-233938982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7436-0435-48A3-99B1-49B17EAEDFD8}">
  <dimension ref="A1:AU79"/>
  <sheetViews>
    <sheetView tabSelected="1" zoomScaleNormal="100" workbookViewId="0">
      <pane ySplit="1" topLeftCell="A2" activePane="bottomLeft" state="frozen"/>
      <selection pane="bottomLeft" activeCell="E15" sqref="E15"/>
    </sheetView>
  </sheetViews>
  <sheetFormatPr defaultColWidth="8.85546875" defaultRowHeight="15" x14ac:dyDescent="0.25"/>
  <cols>
    <col min="1" max="1" width="9.140625" style="4"/>
    <col min="2" max="2" width="8.140625" style="1" bestFit="1" customWidth="1"/>
    <col min="3" max="3" width="11.42578125" style="1" bestFit="1" customWidth="1"/>
    <col min="4" max="4" width="17" style="1" bestFit="1" customWidth="1"/>
    <col min="5" max="5" width="10.7109375" style="1" bestFit="1" customWidth="1"/>
    <col min="6" max="6" width="18" style="1" bestFit="1" customWidth="1"/>
    <col min="7" max="7" width="7" style="1" bestFit="1" customWidth="1"/>
    <col min="8" max="8" width="7.42578125" style="1" bestFit="1" customWidth="1"/>
    <col min="9" max="9" width="12.7109375" style="1" customWidth="1"/>
    <col min="10" max="10" width="14.42578125" style="1" customWidth="1"/>
    <col min="11" max="11" width="9.42578125" style="1" customWidth="1"/>
    <col min="12" max="12" width="10.28515625" style="1" customWidth="1"/>
    <col min="13" max="15" width="11.7109375" style="1" customWidth="1"/>
    <col min="16" max="17" width="14.140625" style="1" bestFit="1" customWidth="1"/>
    <col min="18" max="18" width="12.42578125" style="1" bestFit="1" customWidth="1"/>
    <col min="19" max="19" width="14.140625" style="1" bestFit="1" customWidth="1"/>
    <col min="20" max="20" width="15.140625" style="1" bestFit="1" customWidth="1"/>
    <col min="21" max="21" width="12.42578125" style="1" bestFit="1" customWidth="1"/>
    <col min="22" max="22" width="12.28515625" style="1" bestFit="1" customWidth="1"/>
    <col min="23" max="23" width="9.140625" style="1"/>
    <col min="24" max="25" width="11.7109375" style="1" hidden="1" customWidth="1"/>
    <col min="26" max="26" width="0" style="1" hidden="1" customWidth="1"/>
    <col min="27" max="27" width="13.85546875" style="1" hidden="1" customWidth="1"/>
    <col min="28" max="28" width="13.85546875" style="1" customWidth="1"/>
    <col min="29" max="29" width="11.7109375" style="1" bestFit="1" customWidth="1"/>
    <col min="30" max="31" width="11.7109375" style="1" customWidth="1"/>
    <col min="32" max="32" width="11.7109375" style="2" customWidth="1"/>
    <col min="33" max="33" width="15.28515625" style="3" customWidth="1"/>
    <col min="34" max="34" width="15.85546875" customWidth="1"/>
    <col min="35" max="35" width="11.42578125" style="3" customWidth="1"/>
    <col min="36" max="36" width="11.7109375" style="3" customWidth="1"/>
    <col min="37" max="37" width="21.28515625" style="3" customWidth="1"/>
    <col min="38" max="38" width="11.7109375" customWidth="1"/>
    <col min="39" max="39" width="11.7109375" style="3" customWidth="1"/>
    <col min="40" max="40" width="17.42578125" style="3" customWidth="1"/>
    <col min="41" max="41" width="11.7109375" customWidth="1"/>
    <col min="42" max="42" width="11.7109375" style="6" customWidth="1"/>
    <col min="43" max="46" width="11.7109375" customWidth="1"/>
    <col min="47" max="47" width="10.42578125" bestFit="1" customWidth="1"/>
  </cols>
  <sheetData>
    <row r="1" spans="1:47" ht="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C1" s="1" t="s">
        <v>26</v>
      </c>
      <c r="AD1" s="1" t="s">
        <v>27</v>
      </c>
      <c r="AE1" s="1" t="s">
        <v>28</v>
      </c>
      <c r="AF1" s="2" t="s">
        <v>29</v>
      </c>
      <c r="AG1" s="2" t="s">
        <v>30</v>
      </c>
      <c r="AH1" s="1" t="s">
        <v>31</v>
      </c>
      <c r="AI1" s="2" t="s">
        <v>32</v>
      </c>
      <c r="AJ1" s="2" t="s">
        <v>33</v>
      </c>
      <c r="AK1" s="2" t="s">
        <v>34</v>
      </c>
      <c r="AL1" s="1" t="s">
        <v>35</v>
      </c>
      <c r="AM1" s="2" t="s">
        <v>36</v>
      </c>
      <c r="AN1" s="2" t="s">
        <v>37</v>
      </c>
      <c r="AO1" s="1" t="s">
        <v>38</v>
      </c>
      <c r="AP1" s="5" t="s">
        <v>39</v>
      </c>
      <c r="AQ1" s="1"/>
      <c r="AR1" s="1"/>
      <c r="AS1" s="1"/>
      <c r="AT1" s="1"/>
      <c r="AU1" t="s">
        <v>40</v>
      </c>
    </row>
    <row r="2" spans="1:47" x14ac:dyDescent="0.25">
      <c r="B2" s="1" t="s">
        <v>41</v>
      </c>
      <c r="C2" s="1">
        <v>2</v>
      </c>
      <c r="D2" s="1" t="s">
        <v>42</v>
      </c>
      <c r="E2" s="1">
        <v>3</v>
      </c>
      <c r="F2" s="1" t="s">
        <v>43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f t="shared" ref="O2:O33" si="0">N2+M2</f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AC2" s="1" t="e">
        <f t="shared" ref="AC2:AC33" si="1">I2/(SUM(I2:J2))</f>
        <v>#DIV/0!</v>
      </c>
      <c r="AD2" s="1" t="e">
        <f t="shared" ref="AD2:AD33" si="2">IF($E2=1,AC2-0.1436,IF($E2=2,AC2-0.0718,IF($E2 = 3,AC2,IF($E2=4,AC2+0.0718, IF($E2=5,AC2+0.1436)))))</f>
        <v>#DIV/0!</v>
      </c>
      <c r="AE2" s="1" t="e">
        <f t="shared" ref="AE2:AE33" si="3">AD2+(0.0129*H2)</f>
        <v>#DIV/0!</v>
      </c>
      <c r="AF2" s="2" t="e">
        <f t="shared" ref="AF2:AF33" si="4">IF(C2=1,AE2-0.0145,IF(C2=2,AE2,IF(C2=3,AE2+0.0145)))</f>
        <v>#DIV/0!</v>
      </c>
      <c r="AG2" s="2" t="e">
        <f t="shared" ref="AG2:AG33" si="5">K2/(SUM(K2:L2))</f>
        <v>#DIV/0!</v>
      </c>
      <c r="AH2" s="1" t="e">
        <f t="shared" ref="AH2:AH33" si="6">M2/(SUM(M2:N2))</f>
        <v>#DIV/0!</v>
      </c>
      <c r="AI2" s="2" t="e">
        <f t="shared" ref="AI2:AI33" si="7">AH2+(0.0132*M2)</f>
        <v>#DIV/0!</v>
      </c>
      <c r="AJ2" s="2" t="e">
        <f t="shared" ref="AJ2:AJ33" si="8">SUM(M2:N2)/SUM(K2:L2)</f>
        <v>#DIV/0!</v>
      </c>
      <c r="AK2" s="2">
        <f t="shared" ref="AK2:AK33" si="9">P2/G2</f>
        <v>0</v>
      </c>
      <c r="AL2" s="1" t="e">
        <f t="shared" ref="AL2:AL33" si="10">V2/U2</f>
        <v>#DIV/0!</v>
      </c>
      <c r="AM2" s="2">
        <f t="shared" ref="AM2:AM33" si="11">U2/G2</f>
        <v>0</v>
      </c>
      <c r="AN2" s="2">
        <f t="shared" ref="AN2:AN33" si="12">W2/G2</f>
        <v>0</v>
      </c>
      <c r="AO2" s="1" t="e">
        <f t="shared" ref="AO2:AO33" si="13">M2/K2</f>
        <v>#DIV/0!</v>
      </c>
      <c r="AP2" s="5" t="e">
        <f>(AF2*Sheet2!$B$2)+(AG2*Sheet2!$B$3)+(AI2*Sheet2!$B$4)+(AJ2*Sheet2!$B$5)+(AK2*Sheet2!$B$6)+(AM2*Sheet2!$B$7)+(AN2*Sheet2!$B$8)</f>
        <v>#DIV/0!</v>
      </c>
      <c r="AQ2" s="1"/>
      <c r="AR2" s="1"/>
      <c r="AS2" s="1"/>
      <c r="AT2" s="1"/>
    </row>
    <row r="3" spans="1:47" x14ac:dyDescent="0.25">
      <c r="B3" s="1" t="s">
        <v>44</v>
      </c>
      <c r="C3" s="1">
        <v>3</v>
      </c>
      <c r="D3" s="1" t="s">
        <v>45</v>
      </c>
      <c r="E3" s="1">
        <v>5</v>
      </c>
      <c r="F3" s="1" t="s">
        <v>46</v>
      </c>
      <c r="G3" s="1">
        <v>3</v>
      </c>
      <c r="H3" s="1">
        <v>3</v>
      </c>
      <c r="I3" s="1">
        <v>16</v>
      </c>
      <c r="J3" s="1">
        <v>10</v>
      </c>
      <c r="K3" s="1">
        <v>16</v>
      </c>
      <c r="L3" s="1">
        <v>10</v>
      </c>
      <c r="M3" s="1">
        <v>0</v>
      </c>
      <c r="N3" s="1">
        <v>0</v>
      </c>
      <c r="O3" s="1">
        <f t="shared" si="0"/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2</v>
      </c>
      <c r="V3" s="1">
        <v>2</v>
      </c>
      <c r="W3" s="1">
        <v>0</v>
      </c>
      <c r="AC3" s="1">
        <f t="shared" si="1"/>
        <v>0.61538461538461542</v>
      </c>
      <c r="AD3" s="1">
        <f t="shared" si="2"/>
        <v>0.75898461538461537</v>
      </c>
      <c r="AE3" s="1">
        <f t="shared" si="3"/>
        <v>0.79768461538461533</v>
      </c>
      <c r="AF3" s="2">
        <f t="shared" si="4"/>
        <v>0.81218461538461528</v>
      </c>
      <c r="AG3" s="2">
        <f t="shared" si="5"/>
        <v>0.61538461538461542</v>
      </c>
      <c r="AH3" s="1" t="e">
        <f t="shared" si="6"/>
        <v>#DIV/0!</v>
      </c>
      <c r="AI3" s="2" t="e">
        <f t="shared" si="7"/>
        <v>#DIV/0!</v>
      </c>
      <c r="AJ3" s="2">
        <f t="shared" si="8"/>
        <v>0</v>
      </c>
      <c r="AK3" s="2">
        <f t="shared" si="9"/>
        <v>0</v>
      </c>
      <c r="AL3" s="1">
        <f t="shared" si="10"/>
        <v>1</v>
      </c>
      <c r="AM3" s="2">
        <f t="shared" si="11"/>
        <v>0.66666666666666663</v>
      </c>
      <c r="AN3" s="2">
        <f t="shared" si="12"/>
        <v>0</v>
      </c>
      <c r="AO3" s="1">
        <f t="shared" si="13"/>
        <v>0</v>
      </c>
      <c r="AP3" s="5" t="e">
        <f>(AF3*Sheet2!$B$2)+(AG3*Sheet2!$B$3)+(AI3*Sheet2!$B$4)+(AJ3*Sheet2!$B$5)+(AK3*Sheet2!$B$6)+(AM3*Sheet2!$B$7)+(AN3*Sheet2!$B$8)</f>
        <v>#DIV/0!</v>
      </c>
      <c r="AQ3" s="1"/>
      <c r="AR3" s="1"/>
      <c r="AS3" s="1"/>
      <c r="AT3" s="1"/>
    </row>
    <row r="4" spans="1:47" x14ac:dyDescent="0.25">
      <c r="B4" s="1" t="s">
        <v>41</v>
      </c>
      <c r="C4" s="1">
        <v>2</v>
      </c>
      <c r="D4" s="1" t="s">
        <v>47</v>
      </c>
      <c r="E4" s="1">
        <v>4</v>
      </c>
      <c r="F4" s="1" t="s">
        <v>48</v>
      </c>
      <c r="G4" s="1">
        <v>5</v>
      </c>
      <c r="H4" s="1">
        <v>1</v>
      </c>
      <c r="I4" s="1">
        <v>0</v>
      </c>
      <c r="J4" s="1">
        <v>0</v>
      </c>
      <c r="K4" s="1">
        <v>23</v>
      </c>
      <c r="L4" s="1">
        <v>20</v>
      </c>
      <c r="M4" s="1">
        <v>3</v>
      </c>
      <c r="N4" s="1">
        <v>8</v>
      </c>
      <c r="O4" s="1">
        <f t="shared" si="0"/>
        <v>11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3</v>
      </c>
      <c r="V4" s="1">
        <v>0</v>
      </c>
      <c r="W4" s="1">
        <v>0</v>
      </c>
      <c r="AC4" s="1" t="e">
        <f t="shared" si="1"/>
        <v>#DIV/0!</v>
      </c>
      <c r="AD4" s="1" t="e">
        <f t="shared" si="2"/>
        <v>#DIV/0!</v>
      </c>
      <c r="AE4" s="1" t="e">
        <f t="shared" si="3"/>
        <v>#DIV/0!</v>
      </c>
      <c r="AF4" s="2" t="e">
        <f t="shared" si="4"/>
        <v>#DIV/0!</v>
      </c>
      <c r="AG4" s="2">
        <f t="shared" si="5"/>
        <v>0.53488372093023251</v>
      </c>
      <c r="AH4" s="1">
        <f t="shared" si="6"/>
        <v>0.27272727272727271</v>
      </c>
      <c r="AI4" s="2">
        <f t="shared" si="7"/>
        <v>0.31232727272727268</v>
      </c>
      <c r="AJ4" s="2">
        <f t="shared" si="8"/>
        <v>0.2558139534883721</v>
      </c>
      <c r="AK4" s="2">
        <f t="shared" si="9"/>
        <v>0</v>
      </c>
      <c r="AL4" s="1">
        <f t="shared" si="10"/>
        <v>0</v>
      </c>
      <c r="AM4" s="2">
        <f t="shared" si="11"/>
        <v>0.6</v>
      </c>
      <c r="AN4" s="2">
        <f t="shared" si="12"/>
        <v>0</v>
      </c>
      <c r="AO4" s="1">
        <f t="shared" si="13"/>
        <v>0.13043478260869565</v>
      </c>
      <c r="AP4" s="5" t="e">
        <f>(AF4*Sheet2!$B$2)+(AG4*Sheet2!$B$3)+(AI4*Sheet2!$B$4)+(AJ4*Sheet2!$B$5)+(AK4*Sheet2!$B$6)+(AM4*Sheet2!$B$7)+(AN4*Sheet2!$B$8)</f>
        <v>#DIV/0!</v>
      </c>
      <c r="AQ4" s="1"/>
      <c r="AR4" s="1"/>
      <c r="AS4" s="1"/>
      <c r="AT4" s="1"/>
    </row>
    <row r="5" spans="1:47" x14ac:dyDescent="0.25">
      <c r="B5" s="1" t="s">
        <v>44</v>
      </c>
      <c r="C5" s="1">
        <v>3</v>
      </c>
      <c r="D5" s="1" t="s">
        <v>49</v>
      </c>
      <c r="E5" s="1">
        <v>4</v>
      </c>
      <c r="F5" s="1" t="s">
        <v>50</v>
      </c>
      <c r="G5" s="1">
        <v>14</v>
      </c>
      <c r="H5" s="1">
        <v>1</v>
      </c>
      <c r="I5" s="1">
        <v>0</v>
      </c>
      <c r="J5" s="1">
        <v>0</v>
      </c>
      <c r="K5" s="1">
        <v>103</v>
      </c>
      <c r="L5" s="1">
        <v>61</v>
      </c>
      <c r="M5" s="1">
        <v>7</v>
      </c>
      <c r="N5" s="1">
        <v>42</v>
      </c>
      <c r="O5" s="1">
        <f t="shared" si="0"/>
        <v>49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10</v>
      </c>
      <c r="V5" s="1">
        <v>7</v>
      </c>
      <c r="W5" s="1">
        <v>2</v>
      </c>
      <c r="AC5" s="1" t="e">
        <f t="shared" si="1"/>
        <v>#DIV/0!</v>
      </c>
      <c r="AD5" s="1" t="e">
        <f t="shared" si="2"/>
        <v>#DIV/0!</v>
      </c>
      <c r="AE5" s="1" t="e">
        <f t="shared" si="3"/>
        <v>#DIV/0!</v>
      </c>
      <c r="AF5" s="2" t="e">
        <f t="shared" si="4"/>
        <v>#DIV/0!</v>
      </c>
      <c r="AG5" s="2">
        <f t="shared" si="5"/>
        <v>0.62804878048780488</v>
      </c>
      <c r="AH5" s="1">
        <f t="shared" si="6"/>
        <v>0.14285714285714285</v>
      </c>
      <c r="AI5" s="2">
        <f t="shared" si="7"/>
        <v>0.23525714285714283</v>
      </c>
      <c r="AJ5" s="2">
        <f t="shared" si="8"/>
        <v>0.29878048780487804</v>
      </c>
      <c r="AK5" s="2">
        <f t="shared" si="9"/>
        <v>7.1428571428571425E-2</v>
      </c>
      <c r="AL5" s="1">
        <f t="shared" si="10"/>
        <v>0.7</v>
      </c>
      <c r="AM5" s="2">
        <f t="shared" si="11"/>
        <v>0.7142857142857143</v>
      </c>
      <c r="AN5" s="2">
        <f t="shared" si="12"/>
        <v>0.14285714285714285</v>
      </c>
      <c r="AO5" s="1">
        <f t="shared" si="13"/>
        <v>6.7961165048543687E-2</v>
      </c>
      <c r="AP5" s="5" t="e">
        <f>(AF5*Sheet2!$B$2)+(AG5*Sheet2!$B$3)+(AI5*Sheet2!$B$4)+(AJ5*Sheet2!$B$5)+(AK5*Sheet2!$B$6)+(AM5*Sheet2!$B$7)+(AN5*Sheet2!$B$8)</f>
        <v>#DIV/0!</v>
      </c>
      <c r="AQ5" s="1"/>
      <c r="AR5" s="1"/>
      <c r="AS5" s="1"/>
      <c r="AT5" s="1"/>
    </row>
    <row r="6" spans="1:47" x14ac:dyDescent="0.25">
      <c r="B6" s="1" t="s">
        <v>51</v>
      </c>
      <c r="C6" s="1">
        <v>2</v>
      </c>
      <c r="D6" s="1" t="s">
        <v>52</v>
      </c>
      <c r="E6" s="1">
        <v>3</v>
      </c>
      <c r="F6" s="1" t="s">
        <v>53</v>
      </c>
      <c r="G6" s="1">
        <v>8</v>
      </c>
      <c r="H6" s="1">
        <v>1</v>
      </c>
      <c r="I6" s="1">
        <v>0</v>
      </c>
      <c r="J6" s="1">
        <v>0</v>
      </c>
      <c r="K6" s="1">
        <v>35</v>
      </c>
      <c r="L6" s="1">
        <v>38</v>
      </c>
      <c r="M6" s="1">
        <v>2</v>
      </c>
      <c r="N6" s="1">
        <v>15</v>
      </c>
      <c r="O6" s="1">
        <f t="shared" si="0"/>
        <v>17</v>
      </c>
      <c r="P6" s="1">
        <v>1</v>
      </c>
      <c r="Q6" s="1">
        <v>1</v>
      </c>
      <c r="R6" s="1">
        <v>0</v>
      </c>
      <c r="S6" s="1">
        <v>0</v>
      </c>
      <c r="T6" s="1">
        <v>0</v>
      </c>
      <c r="U6" s="1">
        <v>2</v>
      </c>
      <c r="V6" s="1">
        <v>1</v>
      </c>
      <c r="W6" s="1">
        <v>2</v>
      </c>
      <c r="X6" s="1">
        <v>3</v>
      </c>
      <c r="Y6" s="1">
        <v>2</v>
      </c>
      <c r="AA6" s="1">
        <v>1</v>
      </c>
      <c r="AC6" s="1" t="e">
        <f t="shared" si="1"/>
        <v>#DIV/0!</v>
      </c>
      <c r="AD6" s="1" t="e">
        <f t="shared" si="2"/>
        <v>#DIV/0!</v>
      </c>
      <c r="AE6" s="1" t="e">
        <f t="shared" si="3"/>
        <v>#DIV/0!</v>
      </c>
      <c r="AF6" s="2" t="e">
        <f t="shared" si="4"/>
        <v>#DIV/0!</v>
      </c>
      <c r="AG6" s="2">
        <f t="shared" si="5"/>
        <v>0.47945205479452052</v>
      </c>
      <c r="AH6" s="1">
        <f t="shared" si="6"/>
        <v>0.11764705882352941</v>
      </c>
      <c r="AI6" s="2">
        <f t="shared" si="7"/>
        <v>0.14404705882352942</v>
      </c>
      <c r="AJ6" s="2">
        <f t="shared" si="8"/>
        <v>0.23287671232876711</v>
      </c>
      <c r="AK6" s="2">
        <f t="shared" si="9"/>
        <v>0.125</v>
      </c>
      <c r="AL6" s="1">
        <f t="shared" si="10"/>
        <v>0.5</v>
      </c>
      <c r="AM6" s="2">
        <f t="shared" si="11"/>
        <v>0.25</v>
      </c>
      <c r="AN6" s="2">
        <f t="shared" si="12"/>
        <v>0.25</v>
      </c>
      <c r="AO6" s="1">
        <f t="shared" si="13"/>
        <v>5.7142857142857141E-2</v>
      </c>
      <c r="AP6" s="5" t="e">
        <f>(AF6*Sheet2!$B$2)+(AG6*Sheet2!$B$3)+(AI6*Sheet2!$B$4)+(AJ6*Sheet2!$B$5)+(AK6*Sheet2!$B$6)+(AM6*Sheet2!$B$7)+(AN6*Sheet2!$B$8)</f>
        <v>#DIV/0!</v>
      </c>
      <c r="AQ6" s="1"/>
      <c r="AR6" s="1"/>
      <c r="AS6" s="1"/>
      <c r="AT6" s="1"/>
    </row>
    <row r="7" spans="1:47" x14ac:dyDescent="0.25">
      <c r="B7" s="1" t="s">
        <v>54</v>
      </c>
      <c r="C7" s="1">
        <v>1</v>
      </c>
      <c r="D7" s="1" t="s">
        <v>55</v>
      </c>
      <c r="E7" s="1">
        <v>4</v>
      </c>
      <c r="F7" s="1" t="s">
        <v>56</v>
      </c>
      <c r="G7" s="1">
        <v>7</v>
      </c>
      <c r="H7" s="1">
        <v>1</v>
      </c>
      <c r="I7" s="1">
        <v>0</v>
      </c>
      <c r="J7" s="1">
        <v>0</v>
      </c>
      <c r="K7" s="1">
        <v>44</v>
      </c>
      <c r="L7" s="1">
        <v>33</v>
      </c>
      <c r="M7" s="1">
        <v>1</v>
      </c>
      <c r="N7" s="1">
        <v>13</v>
      </c>
      <c r="O7" s="1">
        <f t="shared" si="0"/>
        <v>14</v>
      </c>
      <c r="P7" s="1">
        <v>2</v>
      </c>
      <c r="Q7" s="1">
        <v>0</v>
      </c>
      <c r="R7" s="1">
        <v>0</v>
      </c>
      <c r="S7" s="1">
        <v>0</v>
      </c>
      <c r="T7" s="1">
        <v>0</v>
      </c>
      <c r="U7" s="1">
        <v>3</v>
      </c>
      <c r="V7" s="1">
        <v>0</v>
      </c>
      <c r="W7" s="1">
        <v>1</v>
      </c>
      <c r="AC7" s="1" t="e">
        <f t="shared" si="1"/>
        <v>#DIV/0!</v>
      </c>
      <c r="AD7" s="1" t="e">
        <f t="shared" si="2"/>
        <v>#DIV/0!</v>
      </c>
      <c r="AE7" s="1" t="e">
        <f t="shared" si="3"/>
        <v>#DIV/0!</v>
      </c>
      <c r="AF7" s="2" t="e">
        <f t="shared" si="4"/>
        <v>#DIV/0!</v>
      </c>
      <c r="AG7" s="2">
        <f t="shared" si="5"/>
        <v>0.5714285714285714</v>
      </c>
      <c r="AH7" s="1">
        <f t="shared" si="6"/>
        <v>7.1428571428571425E-2</v>
      </c>
      <c r="AI7" s="2">
        <f t="shared" si="7"/>
        <v>8.4628571428571428E-2</v>
      </c>
      <c r="AJ7" s="2">
        <f t="shared" si="8"/>
        <v>0.18181818181818182</v>
      </c>
      <c r="AK7" s="2">
        <f t="shared" si="9"/>
        <v>0.2857142857142857</v>
      </c>
      <c r="AL7" s="1">
        <f t="shared" si="10"/>
        <v>0</v>
      </c>
      <c r="AM7" s="2">
        <f t="shared" si="11"/>
        <v>0.42857142857142855</v>
      </c>
      <c r="AN7" s="2">
        <f t="shared" si="12"/>
        <v>0.14285714285714285</v>
      </c>
      <c r="AO7" s="1">
        <f t="shared" si="13"/>
        <v>2.2727272727272728E-2</v>
      </c>
      <c r="AP7" s="5" t="e">
        <f>(AF7*Sheet2!$B$2)+(AG7*Sheet2!$B$3)+(AI7*Sheet2!$B$4)+(AJ7*Sheet2!$B$5)+(AK7*Sheet2!$B$6)+(AM7*Sheet2!$B$7)+(AN7*Sheet2!$B$8)</f>
        <v>#DIV/0!</v>
      </c>
      <c r="AQ7" s="1"/>
      <c r="AR7" s="1"/>
      <c r="AS7" s="1"/>
      <c r="AT7" s="1"/>
    </row>
    <row r="8" spans="1:47" s="9" customFormat="1" x14ac:dyDescent="0.25">
      <c r="A8" s="7">
        <v>1</v>
      </c>
      <c r="B8" s="8" t="s">
        <v>41</v>
      </c>
      <c r="C8" s="8">
        <v>2</v>
      </c>
      <c r="D8" s="8" t="s">
        <v>57</v>
      </c>
      <c r="E8" s="8">
        <v>1</v>
      </c>
      <c r="F8" s="8" t="s">
        <v>58</v>
      </c>
      <c r="G8" s="8">
        <v>18</v>
      </c>
      <c r="H8" s="8">
        <v>18</v>
      </c>
      <c r="I8" s="8">
        <v>180</v>
      </c>
      <c r="J8" s="8">
        <v>47</v>
      </c>
      <c r="K8" s="8">
        <v>180</v>
      </c>
      <c r="L8" s="8">
        <v>47</v>
      </c>
      <c r="M8" s="8">
        <v>40</v>
      </c>
      <c r="N8" s="8">
        <v>16</v>
      </c>
      <c r="O8" s="8">
        <f t="shared" si="0"/>
        <v>56</v>
      </c>
      <c r="P8" s="8">
        <v>11</v>
      </c>
      <c r="Q8" s="8">
        <v>9</v>
      </c>
      <c r="R8" s="8">
        <v>5</v>
      </c>
      <c r="S8" s="8">
        <v>4</v>
      </c>
      <c r="T8" s="8">
        <v>2</v>
      </c>
      <c r="U8" s="8">
        <v>21</v>
      </c>
      <c r="V8" s="8">
        <v>12</v>
      </c>
      <c r="W8" s="8">
        <v>13</v>
      </c>
      <c r="X8" s="8"/>
      <c r="Y8" s="8"/>
      <c r="Z8" s="8"/>
      <c r="AA8" s="8"/>
      <c r="AB8" s="8"/>
      <c r="AC8" s="8">
        <f t="shared" si="1"/>
        <v>0.79295154185022021</v>
      </c>
      <c r="AD8" s="8">
        <f t="shared" si="2"/>
        <v>0.64935154185022026</v>
      </c>
      <c r="AE8" s="8">
        <f t="shared" si="3"/>
        <v>0.88155154185022022</v>
      </c>
      <c r="AF8" s="8">
        <f t="shared" si="4"/>
        <v>0.88155154185022022</v>
      </c>
      <c r="AG8" s="8">
        <f t="shared" si="5"/>
        <v>0.79295154185022021</v>
      </c>
      <c r="AH8" s="8">
        <f t="shared" si="6"/>
        <v>0.7142857142857143</v>
      </c>
      <c r="AI8" s="8">
        <f t="shared" si="7"/>
        <v>1.2422857142857144</v>
      </c>
      <c r="AJ8" s="8">
        <f t="shared" si="8"/>
        <v>0.24669603524229075</v>
      </c>
      <c r="AK8" s="8">
        <f t="shared" si="9"/>
        <v>0.61111111111111116</v>
      </c>
      <c r="AL8" s="8">
        <f t="shared" si="10"/>
        <v>0.5714285714285714</v>
      </c>
      <c r="AM8" s="8">
        <f t="shared" si="11"/>
        <v>1.1666666666666667</v>
      </c>
      <c r="AN8" s="8">
        <f t="shared" si="12"/>
        <v>0.72222222222222221</v>
      </c>
      <c r="AO8" s="8">
        <f t="shared" si="13"/>
        <v>0.22222222222222221</v>
      </c>
      <c r="AP8" s="8">
        <f>(AF8*Sheet2!$B$2)+(AG8*Sheet2!$B$3)+(AI8*Sheet2!$B$4)+(AJ8*Sheet2!$B$5)+(AK8*Sheet2!$B$6)+(AM8*Sheet2!$B$7)+(AN8*Sheet2!$B$8)</f>
        <v>82.992041185931058</v>
      </c>
      <c r="AQ8" s="8"/>
      <c r="AR8" s="8"/>
      <c r="AS8" s="8"/>
      <c r="AT8" s="8"/>
    </row>
    <row r="9" spans="1:47" s="9" customFormat="1" x14ac:dyDescent="0.25">
      <c r="A9" s="7">
        <v>2</v>
      </c>
      <c r="B9" s="8" t="s">
        <v>59</v>
      </c>
      <c r="C9" s="8">
        <v>1</v>
      </c>
      <c r="D9" s="8" t="s">
        <v>60</v>
      </c>
      <c r="E9" s="8">
        <v>1</v>
      </c>
      <c r="F9" s="8" t="s">
        <v>61</v>
      </c>
      <c r="G9" s="8">
        <v>10</v>
      </c>
      <c r="H9" s="8">
        <v>10</v>
      </c>
      <c r="I9" s="8">
        <v>105</v>
      </c>
      <c r="J9" s="8">
        <v>19</v>
      </c>
      <c r="K9" s="8">
        <v>105</v>
      </c>
      <c r="L9" s="8">
        <v>19</v>
      </c>
      <c r="M9" s="8">
        <v>28</v>
      </c>
      <c r="N9" s="8">
        <v>11</v>
      </c>
      <c r="O9" s="8">
        <f t="shared" si="0"/>
        <v>39</v>
      </c>
      <c r="P9" s="8">
        <v>7</v>
      </c>
      <c r="Q9" s="8">
        <v>4</v>
      </c>
      <c r="R9" s="8">
        <v>4</v>
      </c>
      <c r="S9" s="8">
        <v>3</v>
      </c>
      <c r="T9" s="8">
        <v>2</v>
      </c>
      <c r="U9" s="8">
        <v>12</v>
      </c>
      <c r="V9" s="8">
        <v>9</v>
      </c>
      <c r="W9" s="8">
        <v>6</v>
      </c>
      <c r="X9" s="8"/>
      <c r="Y9" s="8"/>
      <c r="Z9" s="8"/>
      <c r="AA9" s="8"/>
      <c r="AB9" s="8"/>
      <c r="AC9" s="8">
        <f t="shared" si="1"/>
        <v>0.84677419354838712</v>
      </c>
      <c r="AD9" s="8">
        <f t="shared" si="2"/>
        <v>0.70317419354838706</v>
      </c>
      <c r="AE9" s="8">
        <f t="shared" si="3"/>
        <v>0.83217419354838706</v>
      </c>
      <c r="AF9" s="8">
        <f t="shared" si="4"/>
        <v>0.81767419354838711</v>
      </c>
      <c r="AG9" s="8">
        <f t="shared" si="5"/>
        <v>0.84677419354838712</v>
      </c>
      <c r="AH9" s="8">
        <f t="shared" si="6"/>
        <v>0.71794871794871795</v>
      </c>
      <c r="AI9" s="8">
        <f t="shared" si="7"/>
        <v>1.087548717948718</v>
      </c>
      <c r="AJ9" s="8">
        <f t="shared" si="8"/>
        <v>0.31451612903225806</v>
      </c>
      <c r="AK9" s="8">
        <f t="shared" si="9"/>
        <v>0.7</v>
      </c>
      <c r="AL9" s="8">
        <f t="shared" si="10"/>
        <v>0.75</v>
      </c>
      <c r="AM9" s="8">
        <f t="shared" si="11"/>
        <v>1.2</v>
      </c>
      <c r="AN9" s="8">
        <f t="shared" si="12"/>
        <v>0.6</v>
      </c>
      <c r="AO9" s="8">
        <f t="shared" si="13"/>
        <v>0.26666666666666666</v>
      </c>
      <c r="AP9" s="8">
        <f>(AF9*Sheet2!$B$2)+(AG9*Sheet2!$B$3)+(AI9*Sheet2!$B$4)+(AJ9*Sheet2!$B$5)+(AK9*Sheet2!$B$6)+(AM9*Sheet2!$B$7)+(AN9*Sheet2!$B$8)</f>
        <v>81.574729114971063</v>
      </c>
      <c r="AQ9" s="8"/>
      <c r="AR9" s="8"/>
      <c r="AS9" s="8"/>
      <c r="AT9" s="8"/>
    </row>
    <row r="10" spans="1:47" s="9" customFormat="1" x14ac:dyDescent="0.25">
      <c r="A10" s="7">
        <v>3</v>
      </c>
      <c r="B10" s="8" t="s">
        <v>54</v>
      </c>
      <c r="C10" s="8">
        <v>1</v>
      </c>
      <c r="D10" s="8" t="s">
        <v>62</v>
      </c>
      <c r="E10" s="8">
        <v>1</v>
      </c>
      <c r="F10" s="8" t="s">
        <v>63</v>
      </c>
      <c r="G10" s="8">
        <v>8</v>
      </c>
      <c r="H10" s="8">
        <v>8</v>
      </c>
      <c r="I10" s="8">
        <v>70</v>
      </c>
      <c r="J10" s="8">
        <v>10</v>
      </c>
      <c r="K10" s="8">
        <v>70</v>
      </c>
      <c r="L10" s="8">
        <v>10</v>
      </c>
      <c r="M10" s="8">
        <v>24</v>
      </c>
      <c r="N10" s="8">
        <v>9</v>
      </c>
      <c r="O10" s="8">
        <f t="shared" si="0"/>
        <v>33</v>
      </c>
      <c r="P10" s="8">
        <v>2</v>
      </c>
      <c r="Q10" s="8">
        <v>2</v>
      </c>
      <c r="R10" s="8">
        <v>4</v>
      </c>
      <c r="S10" s="8">
        <v>1</v>
      </c>
      <c r="T10" s="8">
        <v>1</v>
      </c>
      <c r="U10" s="8">
        <v>10</v>
      </c>
      <c r="V10" s="8">
        <v>6</v>
      </c>
      <c r="W10" s="8">
        <v>1</v>
      </c>
      <c r="X10" s="8"/>
      <c r="Y10" s="8"/>
      <c r="Z10" s="8"/>
      <c r="AA10" s="8"/>
      <c r="AB10" s="8"/>
      <c r="AC10" s="8">
        <f t="shared" si="1"/>
        <v>0.875</v>
      </c>
      <c r="AD10" s="8">
        <f t="shared" si="2"/>
        <v>0.73140000000000005</v>
      </c>
      <c r="AE10" s="8">
        <f t="shared" si="3"/>
        <v>0.83460000000000001</v>
      </c>
      <c r="AF10" s="8">
        <f t="shared" si="4"/>
        <v>0.82010000000000005</v>
      </c>
      <c r="AG10" s="8">
        <f t="shared" si="5"/>
        <v>0.875</v>
      </c>
      <c r="AH10" s="8">
        <f t="shared" si="6"/>
        <v>0.72727272727272729</v>
      </c>
      <c r="AI10" s="8">
        <f t="shared" si="7"/>
        <v>1.0440727272727273</v>
      </c>
      <c r="AJ10" s="8">
        <f t="shared" si="8"/>
        <v>0.41249999999999998</v>
      </c>
      <c r="AK10" s="8">
        <f t="shared" si="9"/>
        <v>0.25</v>
      </c>
      <c r="AL10" s="8">
        <f t="shared" si="10"/>
        <v>0.6</v>
      </c>
      <c r="AM10" s="8">
        <f t="shared" si="11"/>
        <v>1.25</v>
      </c>
      <c r="AN10" s="8">
        <f t="shared" si="12"/>
        <v>0.125</v>
      </c>
      <c r="AO10" s="8">
        <f t="shared" si="13"/>
        <v>0.34285714285714286</v>
      </c>
      <c r="AP10" s="8">
        <f>(AF10*Sheet2!$B$2)+(AG10*Sheet2!$B$3)+(AI10*Sheet2!$B$4)+(AJ10*Sheet2!$B$5)+(AK10*Sheet2!$B$6)+(AM10*Sheet2!$B$7)+(AN10*Sheet2!$B$8)</f>
        <v>76.394227272727278</v>
      </c>
      <c r="AQ10" s="8"/>
      <c r="AR10" s="8"/>
      <c r="AS10" s="8"/>
      <c r="AT10" s="8"/>
    </row>
    <row r="11" spans="1:47" s="9" customFormat="1" x14ac:dyDescent="0.25">
      <c r="A11" s="7">
        <v>4</v>
      </c>
      <c r="B11" s="8" t="s">
        <v>44</v>
      </c>
      <c r="C11" s="8">
        <v>3</v>
      </c>
      <c r="D11" s="8" t="s">
        <v>64</v>
      </c>
      <c r="E11" s="8">
        <v>3</v>
      </c>
      <c r="F11" s="8" t="s">
        <v>65</v>
      </c>
      <c r="G11" s="8">
        <v>2.5</v>
      </c>
      <c r="H11" s="8">
        <v>2.5</v>
      </c>
      <c r="I11" s="8">
        <v>15</v>
      </c>
      <c r="J11" s="8">
        <v>3</v>
      </c>
      <c r="K11" s="8">
        <v>15</v>
      </c>
      <c r="L11" s="8">
        <v>3</v>
      </c>
      <c r="M11" s="8">
        <v>1</v>
      </c>
      <c r="N11" s="8">
        <v>2</v>
      </c>
      <c r="O11" s="8">
        <f t="shared" si="0"/>
        <v>3</v>
      </c>
      <c r="P11" s="8">
        <v>2</v>
      </c>
      <c r="Q11" s="8">
        <v>2</v>
      </c>
      <c r="R11" s="8">
        <v>1</v>
      </c>
      <c r="S11" s="8">
        <v>0</v>
      </c>
      <c r="T11" s="8">
        <v>0</v>
      </c>
      <c r="U11" s="8">
        <v>2</v>
      </c>
      <c r="V11" s="8">
        <v>0</v>
      </c>
      <c r="W11" s="8">
        <v>1</v>
      </c>
      <c r="X11" s="8"/>
      <c r="Y11" s="8"/>
      <c r="Z11" s="8"/>
      <c r="AA11" s="8"/>
      <c r="AB11" s="8"/>
      <c r="AC11" s="8">
        <f t="shared" si="1"/>
        <v>0.83333333333333337</v>
      </c>
      <c r="AD11" s="8">
        <f t="shared" si="2"/>
        <v>0.83333333333333337</v>
      </c>
      <c r="AE11" s="8">
        <f t="shared" si="3"/>
        <v>0.86558333333333337</v>
      </c>
      <c r="AF11" s="8">
        <f t="shared" si="4"/>
        <v>0.88008333333333333</v>
      </c>
      <c r="AG11" s="8">
        <f t="shared" si="5"/>
        <v>0.83333333333333337</v>
      </c>
      <c r="AH11" s="8">
        <f t="shared" si="6"/>
        <v>0.33333333333333331</v>
      </c>
      <c r="AI11" s="8">
        <f t="shared" si="7"/>
        <v>0.3465333333333333</v>
      </c>
      <c r="AJ11" s="8">
        <f t="shared" si="8"/>
        <v>0.16666666666666666</v>
      </c>
      <c r="AK11" s="8">
        <f t="shared" si="9"/>
        <v>0.8</v>
      </c>
      <c r="AL11" s="8">
        <f t="shared" si="10"/>
        <v>0</v>
      </c>
      <c r="AM11" s="8">
        <f t="shared" si="11"/>
        <v>0.8</v>
      </c>
      <c r="AN11" s="8">
        <f t="shared" si="12"/>
        <v>0.4</v>
      </c>
      <c r="AO11" s="8">
        <f t="shared" si="13"/>
        <v>6.6666666666666666E-2</v>
      </c>
      <c r="AP11" s="8">
        <f>(AF11*Sheet2!$B$2)+(AG11*Sheet2!$B$3)+(AI11*Sheet2!$B$4)+(AJ11*Sheet2!$B$5)+(AK11*Sheet2!$B$6)+(AM11*Sheet2!$B$7)+(AN11*Sheet2!$B$8)</f>
        <v>70.601583333333338</v>
      </c>
      <c r="AQ11" s="8"/>
      <c r="AR11" s="8"/>
      <c r="AS11" s="8"/>
      <c r="AT11" s="8"/>
    </row>
    <row r="12" spans="1:47" s="17" customFormat="1" x14ac:dyDescent="0.25">
      <c r="A12" s="15">
        <v>5</v>
      </c>
      <c r="B12" s="16" t="s">
        <v>51</v>
      </c>
      <c r="C12" s="16">
        <v>2</v>
      </c>
      <c r="D12" s="16" t="s">
        <v>66</v>
      </c>
      <c r="E12" s="16">
        <v>2</v>
      </c>
      <c r="F12" s="16" t="s">
        <v>67</v>
      </c>
      <c r="G12" s="16">
        <v>20</v>
      </c>
      <c r="H12" s="16">
        <v>20</v>
      </c>
      <c r="I12" s="16">
        <v>169</v>
      </c>
      <c r="J12" s="16">
        <v>88</v>
      </c>
      <c r="K12" s="16">
        <v>169</v>
      </c>
      <c r="L12" s="16">
        <v>88</v>
      </c>
      <c r="M12" s="16">
        <v>39</v>
      </c>
      <c r="N12" s="16">
        <v>46</v>
      </c>
      <c r="O12" s="16">
        <f t="shared" si="0"/>
        <v>85</v>
      </c>
      <c r="P12" s="16">
        <v>3</v>
      </c>
      <c r="Q12" s="16">
        <v>1</v>
      </c>
      <c r="R12" s="16">
        <v>0</v>
      </c>
      <c r="S12" s="16">
        <v>0</v>
      </c>
      <c r="T12" s="16">
        <v>0</v>
      </c>
      <c r="U12" s="16">
        <v>18</v>
      </c>
      <c r="V12" s="16">
        <v>12</v>
      </c>
      <c r="W12" s="16">
        <v>4</v>
      </c>
      <c r="X12" s="16">
        <v>0</v>
      </c>
      <c r="Y12" s="16">
        <v>0</v>
      </c>
      <c r="Z12" s="16"/>
      <c r="AA12" s="16"/>
      <c r="AB12" s="16"/>
      <c r="AC12" s="16">
        <f t="shared" si="1"/>
        <v>0.65758754863813229</v>
      </c>
      <c r="AD12" s="16">
        <f t="shared" si="2"/>
        <v>0.58578754863813232</v>
      </c>
      <c r="AE12" s="16">
        <f t="shared" si="3"/>
        <v>0.84378754863813232</v>
      </c>
      <c r="AF12" s="16">
        <f t="shared" si="4"/>
        <v>0.84378754863813232</v>
      </c>
      <c r="AG12" s="16">
        <f t="shared" si="5"/>
        <v>0.65758754863813229</v>
      </c>
      <c r="AH12" s="16">
        <f t="shared" si="6"/>
        <v>0.45882352941176469</v>
      </c>
      <c r="AI12" s="16">
        <f t="shared" si="7"/>
        <v>0.97362352941176478</v>
      </c>
      <c r="AJ12" s="16">
        <f t="shared" si="8"/>
        <v>0.33073929961089493</v>
      </c>
      <c r="AK12" s="16">
        <f t="shared" si="9"/>
        <v>0.15</v>
      </c>
      <c r="AL12" s="16">
        <f t="shared" si="10"/>
        <v>0.66666666666666663</v>
      </c>
      <c r="AM12" s="16">
        <f t="shared" si="11"/>
        <v>0.9</v>
      </c>
      <c r="AN12" s="16">
        <f t="shared" si="12"/>
        <v>0.2</v>
      </c>
      <c r="AO12" s="16">
        <f t="shared" si="13"/>
        <v>0.23076923076923078</v>
      </c>
      <c r="AP12" s="16">
        <f>(AF12*Sheet2!$B$2)+(AG12*Sheet2!$B$3)+(AI12*Sheet2!$B$4)+(AJ12*Sheet2!$B$5)+(AK12*Sheet2!$B$6)+(AM12*Sheet2!$B$7)+(AN12*Sheet2!$B$8)</f>
        <v>67.227943465323875</v>
      </c>
      <c r="AQ12" s="16"/>
      <c r="AR12" s="16"/>
      <c r="AS12" s="16"/>
      <c r="AT12" s="16"/>
    </row>
    <row r="13" spans="1:47" s="9" customFormat="1" x14ac:dyDescent="0.25">
      <c r="A13" s="7">
        <v>6</v>
      </c>
      <c r="B13" s="8" t="s">
        <v>54</v>
      </c>
      <c r="C13" s="8">
        <v>1</v>
      </c>
      <c r="D13" s="8" t="s">
        <v>68</v>
      </c>
      <c r="E13" s="8">
        <v>1</v>
      </c>
      <c r="F13" s="8" t="s">
        <v>69</v>
      </c>
      <c r="G13" s="8">
        <v>4</v>
      </c>
      <c r="H13" s="8">
        <v>4</v>
      </c>
      <c r="I13" s="8">
        <v>35</v>
      </c>
      <c r="J13" s="8">
        <v>6</v>
      </c>
      <c r="K13" s="8">
        <v>35</v>
      </c>
      <c r="L13" s="8">
        <v>6</v>
      </c>
      <c r="M13" s="8">
        <v>10</v>
      </c>
      <c r="N13" s="8">
        <v>6</v>
      </c>
      <c r="O13" s="8">
        <f t="shared" si="0"/>
        <v>16</v>
      </c>
      <c r="P13" s="8">
        <v>2</v>
      </c>
      <c r="Q13" s="8">
        <v>1</v>
      </c>
      <c r="R13" s="8">
        <v>1</v>
      </c>
      <c r="S13" s="8">
        <v>0</v>
      </c>
      <c r="T13" s="8">
        <v>0</v>
      </c>
      <c r="U13" s="8">
        <v>3</v>
      </c>
      <c r="V13" s="8">
        <v>2</v>
      </c>
      <c r="W13" s="8">
        <v>0</v>
      </c>
      <c r="X13" s="8"/>
      <c r="Y13" s="8"/>
      <c r="Z13" s="8"/>
      <c r="AA13" s="8"/>
      <c r="AB13" s="8"/>
      <c r="AC13" s="8">
        <f t="shared" si="1"/>
        <v>0.85365853658536583</v>
      </c>
      <c r="AD13" s="8">
        <f t="shared" si="2"/>
        <v>0.71005853658536577</v>
      </c>
      <c r="AE13" s="8">
        <f t="shared" si="3"/>
        <v>0.76165853658536575</v>
      </c>
      <c r="AF13" s="8">
        <f t="shared" si="4"/>
        <v>0.7471585365853658</v>
      </c>
      <c r="AG13" s="8">
        <f t="shared" si="5"/>
        <v>0.85365853658536583</v>
      </c>
      <c r="AH13" s="8">
        <f t="shared" si="6"/>
        <v>0.625</v>
      </c>
      <c r="AI13" s="8">
        <f t="shared" si="7"/>
        <v>0.75700000000000001</v>
      </c>
      <c r="AJ13" s="8">
        <f t="shared" si="8"/>
        <v>0.3902439024390244</v>
      </c>
      <c r="AK13" s="8">
        <f t="shared" si="9"/>
        <v>0.5</v>
      </c>
      <c r="AL13" s="8">
        <f t="shared" si="10"/>
        <v>0.66666666666666663</v>
      </c>
      <c r="AM13" s="8">
        <f t="shared" si="11"/>
        <v>0.75</v>
      </c>
      <c r="AN13" s="8">
        <f t="shared" si="12"/>
        <v>0</v>
      </c>
      <c r="AO13" s="8">
        <f t="shared" si="13"/>
        <v>0.2857142857142857</v>
      </c>
      <c r="AP13" s="8">
        <f>(AF13*Sheet2!$B$2)+(AG13*Sheet2!$B$3)+(AI13*Sheet2!$B$4)+(AJ13*Sheet2!$B$5)+(AK13*Sheet2!$B$6)+(AM13*Sheet2!$B$7)+(AN13*Sheet2!$B$8)</f>
        <v>67.196158536585358</v>
      </c>
      <c r="AQ13" s="8"/>
      <c r="AR13" s="8"/>
      <c r="AS13" s="8"/>
      <c r="AT13" s="8"/>
    </row>
    <row r="14" spans="1:47" s="17" customFormat="1" x14ac:dyDescent="0.25">
      <c r="A14" s="15">
        <v>7</v>
      </c>
      <c r="B14" s="16" t="s">
        <v>51</v>
      </c>
      <c r="C14" s="16">
        <v>2</v>
      </c>
      <c r="D14" s="16" t="s">
        <v>70</v>
      </c>
      <c r="E14" s="16">
        <v>3</v>
      </c>
      <c r="F14" s="16" t="s">
        <v>71</v>
      </c>
      <c r="G14" s="16">
        <v>21</v>
      </c>
      <c r="H14" s="16">
        <v>21</v>
      </c>
      <c r="I14" s="16">
        <v>167</v>
      </c>
      <c r="J14" s="16">
        <v>86</v>
      </c>
      <c r="K14" s="16">
        <v>167</v>
      </c>
      <c r="L14" s="16">
        <v>86</v>
      </c>
      <c r="M14" s="16">
        <v>23</v>
      </c>
      <c r="N14" s="16">
        <v>36</v>
      </c>
      <c r="O14" s="16">
        <f t="shared" si="0"/>
        <v>59</v>
      </c>
      <c r="P14" s="16">
        <v>3</v>
      </c>
      <c r="Q14" s="16">
        <v>3</v>
      </c>
      <c r="R14" s="16">
        <v>0</v>
      </c>
      <c r="S14" s="16">
        <v>0</v>
      </c>
      <c r="T14" s="16">
        <v>0</v>
      </c>
      <c r="U14" s="16">
        <v>17</v>
      </c>
      <c r="V14" s="16">
        <v>11</v>
      </c>
      <c r="W14" s="16">
        <v>3</v>
      </c>
      <c r="X14" s="16"/>
      <c r="Y14" s="16"/>
      <c r="Z14" s="16"/>
      <c r="AA14" s="16"/>
      <c r="AB14" s="16"/>
      <c r="AC14" s="16">
        <f t="shared" si="1"/>
        <v>0.66007905138339917</v>
      </c>
      <c r="AD14" s="16">
        <f t="shared" si="2"/>
        <v>0.66007905138339917</v>
      </c>
      <c r="AE14" s="16">
        <f t="shared" si="3"/>
        <v>0.93097905138339909</v>
      </c>
      <c r="AF14" s="16">
        <f t="shared" si="4"/>
        <v>0.93097905138339909</v>
      </c>
      <c r="AG14" s="16">
        <f t="shared" si="5"/>
        <v>0.66007905138339917</v>
      </c>
      <c r="AH14" s="16">
        <f t="shared" si="6"/>
        <v>0.38983050847457629</v>
      </c>
      <c r="AI14" s="16">
        <f t="shared" si="7"/>
        <v>0.69343050847457621</v>
      </c>
      <c r="AJ14" s="16">
        <f t="shared" si="8"/>
        <v>0.233201581027668</v>
      </c>
      <c r="AK14" s="16">
        <f t="shared" si="9"/>
        <v>0.14285714285714285</v>
      </c>
      <c r="AL14" s="16">
        <f t="shared" si="10"/>
        <v>0.6470588235294118</v>
      </c>
      <c r="AM14" s="16">
        <f t="shared" si="11"/>
        <v>0.80952380952380953</v>
      </c>
      <c r="AN14" s="16">
        <f t="shared" si="12"/>
        <v>0.14285714285714285</v>
      </c>
      <c r="AO14" s="16">
        <f t="shared" si="13"/>
        <v>0.1377245508982036</v>
      </c>
      <c r="AP14" s="16">
        <f>(AF14*Sheet2!$B$2)+(AG14*Sheet2!$B$3)+(AI14*Sheet2!$B$4)+(AJ14*Sheet2!$B$5)+(AK14*Sheet2!$B$6)+(AM14*Sheet2!$B$7)+(AN14*Sheet2!$B$8)</f>
        <v>65.290263959204623</v>
      </c>
      <c r="AQ14" s="16"/>
      <c r="AR14" s="16"/>
      <c r="AS14" s="16"/>
      <c r="AT14" s="16"/>
    </row>
    <row r="15" spans="1:47" s="9" customFormat="1" x14ac:dyDescent="0.25">
      <c r="A15" s="7">
        <v>8</v>
      </c>
      <c r="B15" s="8" t="s">
        <v>54</v>
      </c>
      <c r="C15" s="8">
        <v>1</v>
      </c>
      <c r="D15" s="8" t="s">
        <v>72</v>
      </c>
      <c r="E15" s="8">
        <v>3</v>
      </c>
      <c r="F15" s="8" t="s">
        <v>73</v>
      </c>
      <c r="G15" s="8">
        <v>4</v>
      </c>
      <c r="H15" s="8">
        <v>2</v>
      </c>
      <c r="I15" s="8">
        <v>11</v>
      </c>
      <c r="J15" s="8">
        <v>2</v>
      </c>
      <c r="K15" s="8">
        <v>30</v>
      </c>
      <c r="L15" s="8">
        <v>6</v>
      </c>
      <c r="M15" s="8">
        <v>2</v>
      </c>
      <c r="N15" s="8">
        <v>2</v>
      </c>
      <c r="O15" s="8">
        <f t="shared" si="0"/>
        <v>4</v>
      </c>
      <c r="P15" s="8">
        <v>2</v>
      </c>
      <c r="Q15" s="8">
        <v>0</v>
      </c>
      <c r="R15" s="8">
        <v>1</v>
      </c>
      <c r="S15" s="8">
        <v>0</v>
      </c>
      <c r="T15" s="8">
        <v>0</v>
      </c>
      <c r="U15" s="8">
        <v>1</v>
      </c>
      <c r="V15" s="8">
        <v>0</v>
      </c>
      <c r="W15" s="8">
        <v>3</v>
      </c>
      <c r="X15" s="8"/>
      <c r="Y15" s="8"/>
      <c r="Z15" s="8"/>
      <c r="AA15" s="8"/>
      <c r="AB15" s="8"/>
      <c r="AC15" s="8">
        <f t="shared" si="1"/>
        <v>0.84615384615384615</v>
      </c>
      <c r="AD15" s="8">
        <f t="shared" si="2"/>
        <v>0.84615384615384615</v>
      </c>
      <c r="AE15" s="8">
        <f t="shared" si="3"/>
        <v>0.87195384615384619</v>
      </c>
      <c r="AF15" s="8">
        <f t="shared" si="4"/>
        <v>0.85745384615384623</v>
      </c>
      <c r="AG15" s="8">
        <f t="shared" si="5"/>
        <v>0.83333333333333337</v>
      </c>
      <c r="AH15" s="8">
        <f t="shared" si="6"/>
        <v>0.5</v>
      </c>
      <c r="AI15" s="8">
        <f t="shared" si="7"/>
        <v>0.52639999999999998</v>
      </c>
      <c r="AJ15" s="8">
        <f t="shared" si="8"/>
        <v>0.1111111111111111</v>
      </c>
      <c r="AK15" s="8">
        <f t="shared" si="9"/>
        <v>0.5</v>
      </c>
      <c r="AL15" s="8">
        <f t="shared" si="10"/>
        <v>0</v>
      </c>
      <c r="AM15" s="8">
        <f t="shared" si="11"/>
        <v>0.25</v>
      </c>
      <c r="AN15" s="8">
        <f t="shared" si="12"/>
        <v>0.75</v>
      </c>
      <c r="AO15" s="8">
        <f t="shared" si="13"/>
        <v>6.6666666666666666E-2</v>
      </c>
      <c r="AP15" s="8">
        <f>(AF15*Sheet2!$B$2)+(AG15*Sheet2!$B$3)+(AI15*Sheet2!$B$4)+(AJ15*Sheet2!$B$5)+(AK15*Sheet2!$B$6)+(AM15*Sheet2!$B$7)+(AN15*Sheet2!$B$8)</f>
        <v>64.302662393162393</v>
      </c>
      <c r="AQ15" s="8"/>
      <c r="AR15" s="8"/>
      <c r="AS15" s="8"/>
      <c r="AT15" s="8"/>
    </row>
    <row r="16" spans="1:47" s="9" customFormat="1" x14ac:dyDescent="0.25">
      <c r="A16" s="7">
        <v>9</v>
      </c>
      <c r="B16" s="8" t="s">
        <v>41</v>
      </c>
      <c r="C16" s="8">
        <v>2</v>
      </c>
      <c r="D16" s="8" t="s">
        <v>74</v>
      </c>
      <c r="E16" s="8">
        <v>3</v>
      </c>
      <c r="F16" s="8" t="s">
        <v>75</v>
      </c>
      <c r="G16" s="8">
        <v>2</v>
      </c>
      <c r="H16" s="8">
        <v>2</v>
      </c>
      <c r="I16" s="8">
        <v>10</v>
      </c>
      <c r="J16" s="8">
        <v>3</v>
      </c>
      <c r="K16" s="8">
        <v>10</v>
      </c>
      <c r="L16" s="8">
        <v>3</v>
      </c>
      <c r="M16" s="8">
        <v>3</v>
      </c>
      <c r="N16" s="8">
        <v>1</v>
      </c>
      <c r="O16" s="8">
        <f t="shared" si="0"/>
        <v>4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</v>
      </c>
      <c r="V16" s="8">
        <v>1</v>
      </c>
      <c r="W16" s="8">
        <v>2</v>
      </c>
      <c r="X16" s="8"/>
      <c r="Y16" s="8"/>
      <c r="Z16" s="8"/>
      <c r="AA16" s="8"/>
      <c r="AB16" s="8"/>
      <c r="AC16" s="8">
        <f t="shared" si="1"/>
        <v>0.76923076923076927</v>
      </c>
      <c r="AD16" s="8">
        <f t="shared" si="2"/>
        <v>0.76923076923076927</v>
      </c>
      <c r="AE16" s="8">
        <f t="shared" si="3"/>
        <v>0.79503076923076932</v>
      </c>
      <c r="AF16" s="8">
        <f t="shared" si="4"/>
        <v>0.79503076923076932</v>
      </c>
      <c r="AG16" s="8">
        <f t="shared" si="5"/>
        <v>0.76923076923076927</v>
      </c>
      <c r="AH16" s="8">
        <f t="shared" si="6"/>
        <v>0.75</v>
      </c>
      <c r="AI16" s="8">
        <f t="shared" si="7"/>
        <v>0.78959999999999997</v>
      </c>
      <c r="AJ16" s="8">
        <f t="shared" si="8"/>
        <v>0.30769230769230771</v>
      </c>
      <c r="AK16" s="8">
        <f t="shared" si="9"/>
        <v>0</v>
      </c>
      <c r="AL16" s="8">
        <f t="shared" si="10"/>
        <v>1</v>
      </c>
      <c r="AM16" s="8">
        <f t="shared" si="11"/>
        <v>0.5</v>
      </c>
      <c r="AN16" s="8">
        <f t="shared" si="12"/>
        <v>1</v>
      </c>
      <c r="AO16" s="8">
        <f t="shared" si="13"/>
        <v>0.3</v>
      </c>
      <c r="AP16" s="8">
        <f>(AF16*Sheet2!$B$2)+(AG16*Sheet2!$B$3)+(AI16*Sheet2!$B$4)+(AJ16*Sheet2!$B$5)+(AK16*Sheet2!$B$6)+(AM16*Sheet2!$B$7)+(AN16*Sheet2!$B$8)</f>
        <v>64.183615384615393</v>
      </c>
      <c r="AQ16" s="8"/>
      <c r="AR16" s="8"/>
      <c r="AS16" s="8"/>
      <c r="AT16" s="8"/>
    </row>
    <row r="17" spans="1:47" s="17" customFormat="1" x14ac:dyDescent="0.25">
      <c r="A17" s="15">
        <v>10</v>
      </c>
      <c r="B17" s="16" t="s">
        <v>54</v>
      </c>
      <c r="C17" s="16">
        <v>1</v>
      </c>
      <c r="D17" s="16" t="s">
        <v>76</v>
      </c>
      <c r="E17" s="16">
        <v>2</v>
      </c>
      <c r="F17" s="16" t="s">
        <v>77</v>
      </c>
      <c r="G17" s="16">
        <v>29</v>
      </c>
      <c r="H17" s="16">
        <v>26</v>
      </c>
      <c r="I17" s="16">
        <v>206</v>
      </c>
      <c r="J17" s="16">
        <v>124</v>
      </c>
      <c r="K17" s="16">
        <v>216</v>
      </c>
      <c r="L17" s="16">
        <v>145</v>
      </c>
      <c r="M17" s="16">
        <v>33</v>
      </c>
      <c r="N17" s="16">
        <v>56</v>
      </c>
      <c r="O17" s="16">
        <f t="shared" si="0"/>
        <v>89</v>
      </c>
      <c r="P17" s="16">
        <v>3</v>
      </c>
      <c r="Q17" s="16">
        <v>2</v>
      </c>
      <c r="R17" s="16">
        <v>0</v>
      </c>
      <c r="S17" s="16">
        <v>0</v>
      </c>
      <c r="T17" s="16">
        <v>0</v>
      </c>
      <c r="U17" s="16">
        <v>21</v>
      </c>
      <c r="V17" s="16">
        <v>10</v>
      </c>
      <c r="W17" s="16">
        <v>6</v>
      </c>
      <c r="X17" s="16"/>
      <c r="Y17" s="16"/>
      <c r="Z17" s="16"/>
      <c r="AA17" s="16"/>
      <c r="AB17" s="16"/>
      <c r="AC17" s="16">
        <f t="shared" si="1"/>
        <v>0.62424242424242427</v>
      </c>
      <c r="AD17" s="16">
        <f t="shared" si="2"/>
        <v>0.55244242424242429</v>
      </c>
      <c r="AE17" s="16">
        <f t="shared" si="3"/>
        <v>0.88784242424242432</v>
      </c>
      <c r="AF17" s="16">
        <f t="shared" si="4"/>
        <v>0.87334242424242436</v>
      </c>
      <c r="AG17" s="16">
        <f t="shared" si="5"/>
        <v>0.5983379501385041</v>
      </c>
      <c r="AH17" s="16">
        <f t="shared" si="6"/>
        <v>0.3707865168539326</v>
      </c>
      <c r="AI17" s="16">
        <f t="shared" si="7"/>
        <v>0.80638651685393259</v>
      </c>
      <c r="AJ17" s="16">
        <f t="shared" si="8"/>
        <v>0.24653739612188366</v>
      </c>
      <c r="AK17" s="16">
        <f t="shared" si="9"/>
        <v>0.10344827586206896</v>
      </c>
      <c r="AL17" s="16">
        <f t="shared" si="10"/>
        <v>0.47619047619047616</v>
      </c>
      <c r="AM17" s="16">
        <f t="shared" si="11"/>
        <v>0.72413793103448276</v>
      </c>
      <c r="AN17" s="16">
        <f t="shared" si="12"/>
        <v>0.20689655172413793</v>
      </c>
      <c r="AO17" s="16">
        <f t="shared" si="13"/>
        <v>0.15277777777777779</v>
      </c>
      <c r="AP17" s="16">
        <f>(AF17*Sheet2!$B$2)+(AG17*Sheet2!$B$3)+(AI17*Sheet2!$B$4)+(AJ17*Sheet2!$B$5)+(AK17*Sheet2!$B$6)+(AM17*Sheet2!$B$7)+(AN17*Sheet2!$B$8)</f>
        <v>62.373327808599306</v>
      </c>
      <c r="AQ17" s="16"/>
      <c r="AR17" s="16"/>
      <c r="AS17" s="16"/>
      <c r="AT17" s="16"/>
    </row>
    <row r="18" spans="1:47" s="9" customFormat="1" x14ac:dyDescent="0.25">
      <c r="A18" s="7">
        <v>11</v>
      </c>
      <c r="B18" s="8" t="s">
        <v>44</v>
      </c>
      <c r="C18" s="8">
        <v>3</v>
      </c>
      <c r="D18" s="8" t="s">
        <v>78</v>
      </c>
      <c r="E18" s="8">
        <v>4</v>
      </c>
      <c r="F18" s="8" t="s">
        <v>79</v>
      </c>
      <c r="G18" s="8">
        <v>8</v>
      </c>
      <c r="H18" s="8">
        <v>3</v>
      </c>
      <c r="I18" s="8">
        <v>21</v>
      </c>
      <c r="J18" s="8">
        <v>5</v>
      </c>
      <c r="K18" s="8">
        <v>47</v>
      </c>
      <c r="L18" s="8">
        <v>27</v>
      </c>
      <c r="M18" s="8">
        <v>1</v>
      </c>
      <c r="N18" s="8">
        <v>2</v>
      </c>
      <c r="O18" s="8">
        <f t="shared" si="0"/>
        <v>3</v>
      </c>
      <c r="P18" s="8">
        <v>5</v>
      </c>
      <c r="Q18" s="8">
        <v>4</v>
      </c>
      <c r="R18" s="8">
        <v>0</v>
      </c>
      <c r="S18" s="8">
        <v>0</v>
      </c>
      <c r="T18" s="8">
        <v>0</v>
      </c>
      <c r="U18" s="8">
        <v>4</v>
      </c>
      <c r="V18" s="8">
        <v>1</v>
      </c>
      <c r="W18" s="8">
        <v>3</v>
      </c>
      <c r="X18" s="8"/>
      <c r="Y18" s="8"/>
      <c r="Z18" s="8"/>
      <c r="AA18" s="8"/>
      <c r="AB18" s="8"/>
      <c r="AC18" s="8">
        <f t="shared" si="1"/>
        <v>0.80769230769230771</v>
      </c>
      <c r="AD18" s="8">
        <f t="shared" si="2"/>
        <v>0.87949230769230768</v>
      </c>
      <c r="AE18" s="8">
        <f t="shared" si="3"/>
        <v>0.91819230769230764</v>
      </c>
      <c r="AF18" s="8">
        <f t="shared" si="4"/>
        <v>0.9326923076923076</v>
      </c>
      <c r="AG18" s="8">
        <f t="shared" si="5"/>
        <v>0.63513513513513509</v>
      </c>
      <c r="AH18" s="8">
        <f t="shared" si="6"/>
        <v>0.33333333333333331</v>
      </c>
      <c r="AI18" s="8">
        <f t="shared" si="7"/>
        <v>0.3465333333333333</v>
      </c>
      <c r="AJ18" s="8">
        <f t="shared" si="8"/>
        <v>4.0540540540540543E-2</v>
      </c>
      <c r="AK18" s="8">
        <f t="shared" si="9"/>
        <v>0.625</v>
      </c>
      <c r="AL18" s="8">
        <f t="shared" si="10"/>
        <v>0.25</v>
      </c>
      <c r="AM18" s="8">
        <f t="shared" si="11"/>
        <v>0.5</v>
      </c>
      <c r="AN18" s="8">
        <f t="shared" si="12"/>
        <v>0.375</v>
      </c>
      <c r="AO18" s="8">
        <f t="shared" si="13"/>
        <v>2.1276595744680851E-2</v>
      </c>
      <c r="AP18" s="8">
        <f>(AF18*Sheet2!$B$2)+(AG18*Sheet2!$B$3)+(AI18*Sheet2!$B$4)+(AJ18*Sheet2!$B$5)+(AK18*Sheet2!$B$6)+(AM18*Sheet2!$B$7)+(AN18*Sheet2!$B$8)</f>
        <v>62.342672210672205</v>
      </c>
      <c r="AQ18" s="8"/>
      <c r="AR18" s="8"/>
      <c r="AS18" s="8"/>
      <c r="AT18" s="8"/>
      <c r="AU18" s="9" t="s">
        <v>80</v>
      </c>
    </row>
    <row r="19" spans="1:47" s="14" customFormat="1" x14ac:dyDescent="0.25">
      <c r="A19" s="15">
        <v>12</v>
      </c>
      <c r="B19" s="16" t="s">
        <v>59</v>
      </c>
      <c r="C19" s="16">
        <v>1</v>
      </c>
      <c r="D19" s="16" t="s">
        <v>81</v>
      </c>
      <c r="E19" s="16">
        <v>1</v>
      </c>
      <c r="F19" s="16" t="s">
        <v>82</v>
      </c>
      <c r="G19" s="16">
        <v>6</v>
      </c>
      <c r="H19" s="16">
        <v>2</v>
      </c>
      <c r="I19" s="16">
        <v>9</v>
      </c>
      <c r="J19" s="16">
        <v>4</v>
      </c>
      <c r="K19" s="16">
        <v>46</v>
      </c>
      <c r="L19" s="16">
        <v>13</v>
      </c>
      <c r="M19" s="16">
        <v>15</v>
      </c>
      <c r="N19" s="16">
        <v>3</v>
      </c>
      <c r="O19" s="16">
        <f t="shared" si="0"/>
        <v>18</v>
      </c>
      <c r="P19" s="16">
        <v>1</v>
      </c>
      <c r="Q19" s="16">
        <v>1</v>
      </c>
      <c r="R19" s="16">
        <v>1</v>
      </c>
      <c r="S19" s="16">
        <v>1</v>
      </c>
      <c r="T19" s="16">
        <v>0</v>
      </c>
      <c r="U19" s="16">
        <v>6</v>
      </c>
      <c r="V19" s="16">
        <v>4</v>
      </c>
      <c r="W19" s="16">
        <v>2</v>
      </c>
      <c r="X19" s="16"/>
      <c r="Y19" s="16"/>
      <c r="Z19" s="16"/>
      <c r="AA19" s="16"/>
      <c r="AB19" s="16"/>
      <c r="AC19" s="16">
        <f t="shared" si="1"/>
        <v>0.69230769230769229</v>
      </c>
      <c r="AD19" s="16">
        <f t="shared" si="2"/>
        <v>0.54870769230769234</v>
      </c>
      <c r="AE19" s="16">
        <f t="shared" si="3"/>
        <v>0.57450769230769239</v>
      </c>
      <c r="AF19" s="16">
        <f t="shared" si="4"/>
        <v>0.56000769230769243</v>
      </c>
      <c r="AG19" s="16">
        <f t="shared" si="5"/>
        <v>0.77966101694915257</v>
      </c>
      <c r="AH19" s="16">
        <f t="shared" si="6"/>
        <v>0.83333333333333337</v>
      </c>
      <c r="AI19" s="16">
        <f t="shared" si="7"/>
        <v>1.0313333333333334</v>
      </c>
      <c r="AJ19" s="16">
        <f t="shared" si="8"/>
        <v>0.30508474576271188</v>
      </c>
      <c r="AK19" s="16">
        <f t="shared" si="9"/>
        <v>0.16666666666666666</v>
      </c>
      <c r="AL19" s="16">
        <f t="shared" si="10"/>
        <v>0.66666666666666663</v>
      </c>
      <c r="AM19" s="16">
        <f t="shared" si="11"/>
        <v>1</v>
      </c>
      <c r="AN19" s="16">
        <f t="shared" si="12"/>
        <v>0.33333333333333331</v>
      </c>
      <c r="AO19" s="16">
        <f t="shared" si="13"/>
        <v>0.32608695652173914</v>
      </c>
      <c r="AP19" s="16">
        <f>(AF19*Sheet2!$B$2)+(AG19*Sheet2!$B$3)+(AI19*Sheet2!$B$4)+(AJ19*Sheet2!$B$5)+(AK19*Sheet2!$B$6)+(AM19*Sheet2!$B$7)+(AN19*Sheet2!$B$8)</f>
        <v>61.89100369404607</v>
      </c>
      <c r="AQ19" s="11"/>
      <c r="AR19" s="11"/>
      <c r="AS19" s="11"/>
      <c r="AT19" s="11"/>
      <c r="AU19" s="18" t="s">
        <v>83</v>
      </c>
    </row>
    <row r="20" spans="1:47" s="9" customFormat="1" x14ac:dyDescent="0.25">
      <c r="A20" s="7">
        <v>13</v>
      </c>
      <c r="B20" s="8" t="s">
        <v>54</v>
      </c>
      <c r="C20" s="8">
        <v>1</v>
      </c>
      <c r="D20" s="8" t="s">
        <v>84</v>
      </c>
      <c r="E20" s="8">
        <v>1</v>
      </c>
      <c r="F20" s="8" t="s">
        <v>85</v>
      </c>
      <c r="G20" s="8">
        <v>9</v>
      </c>
      <c r="H20" s="8">
        <v>4</v>
      </c>
      <c r="I20" s="8">
        <v>26</v>
      </c>
      <c r="J20" s="8">
        <v>14</v>
      </c>
      <c r="K20" s="8">
        <v>81</v>
      </c>
      <c r="L20" s="8">
        <v>24</v>
      </c>
      <c r="M20" s="8">
        <v>18</v>
      </c>
      <c r="N20" s="8">
        <v>15</v>
      </c>
      <c r="O20" s="8">
        <f t="shared" si="0"/>
        <v>33</v>
      </c>
      <c r="P20" s="8">
        <v>5</v>
      </c>
      <c r="Q20" s="8">
        <v>4</v>
      </c>
      <c r="R20" s="8">
        <v>3</v>
      </c>
      <c r="S20" s="8">
        <v>0</v>
      </c>
      <c r="T20" s="8">
        <v>0</v>
      </c>
      <c r="U20" s="8">
        <v>7</v>
      </c>
      <c r="V20" s="8">
        <v>3</v>
      </c>
      <c r="W20" s="8">
        <v>2</v>
      </c>
      <c r="X20" s="8"/>
      <c r="Y20" s="8"/>
      <c r="Z20" s="8"/>
      <c r="AA20" s="8"/>
      <c r="AB20" s="8"/>
      <c r="AC20" s="8">
        <f t="shared" si="1"/>
        <v>0.65</v>
      </c>
      <c r="AD20" s="8">
        <f t="shared" si="2"/>
        <v>0.50639999999999996</v>
      </c>
      <c r="AE20" s="8">
        <f t="shared" si="3"/>
        <v>0.55799999999999994</v>
      </c>
      <c r="AF20" s="8">
        <f t="shared" si="4"/>
        <v>0.54349999999999998</v>
      </c>
      <c r="AG20" s="8">
        <f t="shared" si="5"/>
        <v>0.77142857142857146</v>
      </c>
      <c r="AH20" s="8">
        <f t="shared" si="6"/>
        <v>0.54545454545454541</v>
      </c>
      <c r="AI20" s="8">
        <f t="shared" si="7"/>
        <v>0.78305454545454545</v>
      </c>
      <c r="AJ20" s="8">
        <f t="shared" si="8"/>
        <v>0.31428571428571428</v>
      </c>
      <c r="AK20" s="8">
        <f t="shared" si="9"/>
        <v>0.55555555555555558</v>
      </c>
      <c r="AL20" s="8">
        <f t="shared" si="10"/>
        <v>0.42857142857142855</v>
      </c>
      <c r="AM20" s="8">
        <f t="shared" si="11"/>
        <v>0.77777777777777779</v>
      </c>
      <c r="AN20" s="8">
        <f t="shared" si="12"/>
        <v>0.22222222222222221</v>
      </c>
      <c r="AO20" s="8">
        <f t="shared" si="13"/>
        <v>0.22222222222222221</v>
      </c>
      <c r="AP20" s="8">
        <f>(AF20*Sheet2!$B$2)+(AG20*Sheet2!$B$3)+(AI20*Sheet2!$B$4)+(AJ20*Sheet2!$B$5)+(AK20*Sheet2!$B$6)+(AM20*Sheet2!$B$7)+(AN20*Sheet2!$B$8)</f>
        <v>59.868918470418478</v>
      </c>
      <c r="AQ20" s="8"/>
      <c r="AR20" s="8"/>
      <c r="AS20" s="8"/>
      <c r="AT20" s="8"/>
    </row>
    <row r="21" spans="1:47" s="14" customFormat="1" x14ac:dyDescent="0.25">
      <c r="A21" s="15">
        <v>14</v>
      </c>
      <c r="B21" s="16" t="s">
        <v>41</v>
      </c>
      <c r="C21" s="16">
        <v>2</v>
      </c>
      <c r="D21" s="16" t="s">
        <v>86</v>
      </c>
      <c r="E21" s="16">
        <v>3</v>
      </c>
      <c r="F21" s="16" t="s">
        <v>87</v>
      </c>
      <c r="G21" s="16">
        <v>4</v>
      </c>
      <c r="H21" s="16">
        <v>4</v>
      </c>
      <c r="I21" s="16">
        <v>29</v>
      </c>
      <c r="J21" s="16">
        <v>12</v>
      </c>
      <c r="K21" s="16">
        <v>29</v>
      </c>
      <c r="L21" s="16">
        <v>12</v>
      </c>
      <c r="M21" s="16">
        <v>2</v>
      </c>
      <c r="N21" s="16">
        <v>5</v>
      </c>
      <c r="O21" s="16">
        <f t="shared" si="0"/>
        <v>7</v>
      </c>
      <c r="P21" s="16">
        <v>2</v>
      </c>
      <c r="Q21" s="16">
        <v>1</v>
      </c>
      <c r="R21" s="16">
        <v>1</v>
      </c>
      <c r="S21" s="16">
        <v>0</v>
      </c>
      <c r="T21" s="16">
        <v>0</v>
      </c>
      <c r="U21" s="16">
        <v>3</v>
      </c>
      <c r="V21" s="16">
        <v>0</v>
      </c>
      <c r="W21" s="16">
        <v>1</v>
      </c>
      <c r="X21" s="16"/>
      <c r="Y21" s="16"/>
      <c r="Z21" s="16"/>
      <c r="AA21" s="16"/>
      <c r="AB21" s="16"/>
      <c r="AC21" s="16">
        <f t="shared" si="1"/>
        <v>0.70731707317073167</v>
      </c>
      <c r="AD21" s="16">
        <f t="shared" si="2"/>
        <v>0.70731707317073167</v>
      </c>
      <c r="AE21" s="16">
        <f t="shared" si="3"/>
        <v>0.75891707317073165</v>
      </c>
      <c r="AF21" s="16">
        <f t="shared" si="4"/>
        <v>0.75891707317073165</v>
      </c>
      <c r="AG21" s="16">
        <f t="shared" si="5"/>
        <v>0.70731707317073167</v>
      </c>
      <c r="AH21" s="16">
        <f t="shared" si="6"/>
        <v>0.2857142857142857</v>
      </c>
      <c r="AI21" s="16">
        <f t="shared" si="7"/>
        <v>0.31211428571428568</v>
      </c>
      <c r="AJ21" s="16">
        <f t="shared" si="8"/>
        <v>0.17073170731707318</v>
      </c>
      <c r="AK21" s="16">
        <f t="shared" si="9"/>
        <v>0.5</v>
      </c>
      <c r="AL21" s="16">
        <f t="shared" si="10"/>
        <v>0</v>
      </c>
      <c r="AM21" s="16">
        <f t="shared" si="11"/>
        <v>0.75</v>
      </c>
      <c r="AN21" s="16">
        <f t="shared" si="12"/>
        <v>0.25</v>
      </c>
      <c r="AO21" s="16">
        <f t="shared" si="13"/>
        <v>6.8965517241379309E-2</v>
      </c>
      <c r="AP21" s="16">
        <f>(AF21*Sheet2!$B$2)+(AG21*Sheet2!$B$3)+(AI21*Sheet2!$B$4)+(AJ21*Sheet2!$B$5)+(AK21*Sheet2!$B$6)+(AM21*Sheet2!$B$7)+(AN21*Sheet2!$B$8)</f>
        <v>59.286898954703837</v>
      </c>
      <c r="AQ21" s="11"/>
      <c r="AR21" s="11"/>
      <c r="AS21" s="11"/>
      <c r="AT21" s="11"/>
    </row>
    <row r="22" spans="1:47" s="9" customFormat="1" x14ac:dyDescent="0.25">
      <c r="A22" s="7">
        <v>15</v>
      </c>
      <c r="B22" s="8" t="s">
        <v>59</v>
      </c>
      <c r="C22" s="8">
        <v>1</v>
      </c>
      <c r="D22" s="8" t="s">
        <v>88</v>
      </c>
      <c r="E22" s="8">
        <v>2</v>
      </c>
      <c r="F22" s="8" t="s">
        <v>89</v>
      </c>
      <c r="G22" s="8">
        <v>8</v>
      </c>
      <c r="H22" s="8">
        <v>5</v>
      </c>
      <c r="I22" s="8">
        <v>37</v>
      </c>
      <c r="J22" s="8">
        <v>15</v>
      </c>
      <c r="K22" s="8">
        <v>65</v>
      </c>
      <c r="L22" s="8">
        <v>23</v>
      </c>
      <c r="M22" s="8">
        <v>11</v>
      </c>
      <c r="N22" s="8">
        <v>10</v>
      </c>
      <c r="O22" s="8">
        <f t="shared" si="0"/>
        <v>21</v>
      </c>
      <c r="P22" s="8">
        <v>1</v>
      </c>
      <c r="Q22" s="8">
        <v>1</v>
      </c>
      <c r="R22" s="8">
        <v>1</v>
      </c>
      <c r="S22" s="8">
        <v>0</v>
      </c>
      <c r="T22" s="8">
        <v>0</v>
      </c>
      <c r="U22" s="8">
        <v>7</v>
      </c>
      <c r="V22" s="8">
        <v>3</v>
      </c>
      <c r="W22" s="8">
        <v>1</v>
      </c>
      <c r="X22" s="8"/>
      <c r="Y22" s="8"/>
      <c r="Z22" s="8"/>
      <c r="AA22" s="8"/>
      <c r="AB22" s="8"/>
      <c r="AC22" s="8">
        <f t="shared" si="1"/>
        <v>0.71153846153846156</v>
      </c>
      <c r="AD22" s="8">
        <f t="shared" si="2"/>
        <v>0.63973846153846159</v>
      </c>
      <c r="AE22" s="8">
        <f t="shared" si="3"/>
        <v>0.70423846153846159</v>
      </c>
      <c r="AF22" s="8">
        <f t="shared" si="4"/>
        <v>0.68973846153846163</v>
      </c>
      <c r="AG22" s="8">
        <f t="shared" si="5"/>
        <v>0.73863636363636365</v>
      </c>
      <c r="AH22" s="8">
        <f t="shared" si="6"/>
        <v>0.52380952380952384</v>
      </c>
      <c r="AI22" s="8">
        <f t="shared" si="7"/>
        <v>0.66900952380952383</v>
      </c>
      <c r="AJ22" s="8">
        <f t="shared" si="8"/>
        <v>0.23863636363636365</v>
      </c>
      <c r="AK22" s="8">
        <f t="shared" si="9"/>
        <v>0.125</v>
      </c>
      <c r="AL22" s="8">
        <f t="shared" si="10"/>
        <v>0.42857142857142855</v>
      </c>
      <c r="AM22" s="8">
        <f t="shared" si="11"/>
        <v>0.875</v>
      </c>
      <c r="AN22" s="8">
        <f t="shared" si="12"/>
        <v>0.125</v>
      </c>
      <c r="AO22" s="8">
        <f t="shared" si="13"/>
        <v>0.16923076923076924</v>
      </c>
      <c r="AP22" s="8">
        <f>(AF22*Sheet2!$B$2)+(AG22*Sheet2!$B$3)+(AI22*Sheet2!$B$4)+(AJ22*Sheet2!$B$5)+(AK22*Sheet2!$B$6)+(AM22*Sheet2!$B$7)+(AN22*Sheet2!$B$8)</f>
        <v>58.615032301032315</v>
      </c>
      <c r="AQ22" s="8"/>
      <c r="AR22" s="8"/>
      <c r="AS22" s="8"/>
      <c r="AT22" s="8"/>
    </row>
    <row r="23" spans="1:47" s="9" customFormat="1" x14ac:dyDescent="0.25">
      <c r="A23" s="7">
        <v>16</v>
      </c>
      <c r="B23" s="8" t="s">
        <v>44</v>
      </c>
      <c r="C23" s="8">
        <v>3</v>
      </c>
      <c r="D23" s="8" t="s">
        <v>90</v>
      </c>
      <c r="E23" s="8">
        <v>4</v>
      </c>
      <c r="F23" s="8" t="s">
        <v>91</v>
      </c>
      <c r="G23" s="8">
        <v>11</v>
      </c>
      <c r="H23" s="8">
        <v>11</v>
      </c>
      <c r="I23" s="8">
        <v>73</v>
      </c>
      <c r="J23" s="8">
        <v>40</v>
      </c>
      <c r="K23" s="8">
        <v>73</v>
      </c>
      <c r="L23" s="8">
        <v>40</v>
      </c>
      <c r="M23" s="8">
        <v>2</v>
      </c>
      <c r="N23" s="8">
        <v>5</v>
      </c>
      <c r="O23" s="8">
        <f t="shared" si="0"/>
        <v>7</v>
      </c>
      <c r="P23" s="8">
        <v>3</v>
      </c>
      <c r="Q23" s="8">
        <v>2</v>
      </c>
      <c r="R23" s="8">
        <v>0</v>
      </c>
      <c r="S23" s="8">
        <v>0</v>
      </c>
      <c r="T23" s="8">
        <v>0</v>
      </c>
      <c r="U23" s="8">
        <v>8</v>
      </c>
      <c r="V23" s="8">
        <v>3</v>
      </c>
      <c r="W23" s="8">
        <v>2</v>
      </c>
      <c r="X23" s="8"/>
      <c r="Y23" s="8"/>
      <c r="Z23" s="8"/>
      <c r="AA23" s="8"/>
      <c r="AB23" s="8"/>
      <c r="AC23" s="8">
        <f t="shared" si="1"/>
        <v>0.64601769911504425</v>
      </c>
      <c r="AD23" s="8">
        <f t="shared" si="2"/>
        <v>0.71781769911504423</v>
      </c>
      <c r="AE23" s="8">
        <f t="shared" si="3"/>
        <v>0.85971769911504425</v>
      </c>
      <c r="AF23" s="8">
        <f t="shared" si="4"/>
        <v>0.87421769911504421</v>
      </c>
      <c r="AG23" s="8">
        <f t="shared" si="5"/>
        <v>0.64601769911504425</v>
      </c>
      <c r="AH23" s="8">
        <f t="shared" si="6"/>
        <v>0.2857142857142857</v>
      </c>
      <c r="AI23" s="8">
        <f t="shared" si="7"/>
        <v>0.31211428571428568</v>
      </c>
      <c r="AJ23" s="8">
        <f t="shared" si="8"/>
        <v>6.1946902654867256E-2</v>
      </c>
      <c r="AK23" s="8">
        <f t="shared" si="9"/>
        <v>0.27272727272727271</v>
      </c>
      <c r="AL23" s="8">
        <f t="shared" si="10"/>
        <v>0.375</v>
      </c>
      <c r="AM23" s="8">
        <f t="shared" si="11"/>
        <v>0.72727272727272729</v>
      </c>
      <c r="AN23" s="8">
        <f t="shared" si="12"/>
        <v>0.18181818181818182</v>
      </c>
      <c r="AO23" s="8">
        <f t="shared" si="13"/>
        <v>2.7397260273972601E-2</v>
      </c>
      <c r="AP23" s="8">
        <f>(AF23*Sheet2!$B$2)+(AG23*Sheet2!$B$3)+(AI23*Sheet2!$B$4)+(AJ23*Sheet2!$B$5)+(AK23*Sheet2!$B$6)+(AM23*Sheet2!$B$7)+(AN23*Sheet2!$B$8)</f>
        <v>58.16767624410987</v>
      </c>
      <c r="AQ23" s="8"/>
      <c r="AR23" s="8"/>
      <c r="AS23" s="8"/>
      <c r="AT23" s="8"/>
    </row>
    <row r="24" spans="1:47" s="17" customFormat="1" x14ac:dyDescent="0.25">
      <c r="A24" s="15">
        <v>17</v>
      </c>
      <c r="B24" s="16" t="s">
        <v>44</v>
      </c>
      <c r="C24" s="16">
        <v>3</v>
      </c>
      <c r="D24" s="16" t="s">
        <v>92</v>
      </c>
      <c r="E24" s="16">
        <v>4</v>
      </c>
      <c r="F24" s="16" t="s">
        <v>93</v>
      </c>
      <c r="G24" s="16">
        <v>4</v>
      </c>
      <c r="H24" s="16">
        <v>2</v>
      </c>
      <c r="I24" s="16">
        <v>9</v>
      </c>
      <c r="J24" s="16">
        <v>5</v>
      </c>
      <c r="K24" s="16">
        <v>32</v>
      </c>
      <c r="L24" s="16">
        <v>9</v>
      </c>
      <c r="M24" s="16">
        <v>0</v>
      </c>
      <c r="N24" s="16">
        <v>5</v>
      </c>
      <c r="O24" s="16">
        <f t="shared" si="0"/>
        <v>5</v>
      </c>
      <c r="P24" s="16">
        <v>3</v>
      </c>
      <c r="Q24" s="16">
        <v>2</v>
      </c>
      <c r="R24" s="16">
        <v>0</v>
      </c>
      <c r="S24" s="16">
        <v>0</v>
      </c>
      <c r="T24" s="16">
        <v>0</v>
      </c>
      <c r="U24" s="16">
        <v>2</v>
      </c>
      <c r="V24" s="16">
        <v>1</v>
      </c>
      <c r="W24" s="16">
        <v>1</v>
      </c>
      <c r="X24" s="16"/>
      <c r="Y24" s="16"/>
      <c r="Z24" s="16"/>
      <c r="AA24" s="16"/>
      <c r="AB24" s="16"/>
      <c r="AC24" s="16">
        <f t="shared" si="1"/>
        <v>0.6428571428571429</v>
      </c>
      <c r="AD24" s="16">
        <f t="shared" si="2"/>
        <v>0.71465714285714288</v>
      </c>
      <c r="AE24" s="16">
        <f t="shared" si="3"/>
        <v>0.74045714285714292</v>
      </c>
      <c r="AF24" s="16">
        <f t="shared" si="4"/>
        <v>0.75495714285714288</v>
      </c>
      <c r="AG24" s="16">
        <f t="shared" si="5"/>
        <v>0.78048780487804881</v>
      </c>
      <c r="AH24" s="16">
        <f t="shared" si="6"/>
        <v>0</v>
      </c>
      <c r="AI24" s="16">
        <f t="shared" si="7"/>
        <v>0</v>
      </c>
      <c r="AJ24" s="16">
        <f t="shared" si="8"/>
        <v>0.12195121951219512</v>
      </c>
      <c r="AK24" s="16">
        <f t="shared" si="9"/>
        <v>0.75</v>
      </c>
      <c r="AL24" s="16">
        <f t="shared" si="10"/>
        <v>0.5</v>
      </c>
      <c r="AM24" s="16">
        <f t="shared" si="11"/>
        <v>0.5</v>
      </c>
      <c r="AN24" s="16">
        <f t="shared" si="12"/>
        <v>0.25</v>
      </c>
      <c r="AO24" s="16">
        <f t="shared" si="13"/>
        <v>0</v>
      </c>
      <c r="AP24" s="16">
        <f>(AF24*Sheet2!$B$2)+(AG24*Sheet2!$B$3)+(AI24*Sheet2!$B$4)+(AJ24*Sheet2!$B$5)+(AK24*Sheet2!$B$6)+(AM24*Sheet2!$B$7)+(AN24*Sheet2!$B$8)</f>
        <v>57.00276829268293</v>
      </c>
      <c r="AQ24" s="16"/>
      <c r="AR24" s="16"/>
      <c r="AS24" s="16"/>
      <c r="AT24" s="16"/>
    </row>
    <row r="25" spans="1:47" s="17" customFormat="1" x14ac:dyDescent="0.25">
      <c r="A25" s="15">
        <v>18</v>
      </c>
      <c r="B25" s="16" t="s">
        <v>54</v>
      </c>
      <c r="C25" s="16">
        <v>1</v>
      </c>
      <c r="D25" s="16" t="s">
        <v>94</v>
      </c>
      <c r="E25" s="16">
        <v>1</v>
      </c>
      <c r="F25" s="16" t="s">
        <v>95</v>
      </c>
      <c r="G25" s="16">
        <v>15</v>
      </c>
      <c r="H25" s="16">
        <v>12</v>
      </c>
      <c r="I25" s="16">
        <v>101</v>
      </c>
      <c r="J25" s="16">
        <v>42</v>
      </c>
      <c r="K25" s="16">
        <v>125</v>
      </c>
      <c r="L25" s="16">
        <v>57</v>
      </c>
      <c r="M25" s="16">
        <v>16</v>
      </c>
      <c r="N25" s="16">
        <v>36</v>
      </c>
      <c r="O25" s="16">
        <f t="shared" si="0"/>
        <v>52</v>
      </c>
      <c r="P25" s="16">
        <v>2</v>
      </c>
      <c r="Q25" s="16">
        <v>1</v>
      </c>
      <c r="R25" s="16">
        <v>1</v>
      </c>
      <c r="S25" s="16">
        <v>0</v>
      </c>
      <c r="T25" s="16">
        <v>0</v>
      </c>
      <c r="U25" s="16">
        <v>13</v>
      </c>
      <c r="V25" s="16">
        <v>7</v>
      </c>
      <c r="W25" s="16">
        <v>1</v>
      </c>
      <c r="X25" s="16"/>
      <c r="Y25" s="16"/>
      <c r="Z25" s="16"/>
      <c r="AA25" s="16"/>
      <c r="AB25" s="16"/>
      <c r="AC25" s="16">
        <f t="shared" si="1"/>
        <v>0.70629370629370625</v>
      </c>
      <c r="AD25" s="16">
        <f t="shared" si="2"/>
        <v>0.5626937062937063</v>
      </c>
      <c r="AE25" s="16">
        <f t="shared" si="3"/>
        <v>0.71749370629370635</v>
      </c>
      <c r="AF25" s="16">
        <f t="shared" si="4"/>
        <v>0.70299370629370639</v>
      </c>
      <c r="AG25" s="16">
        <f t="shared" si="5"/>
        <v>0.68681318681318682</v>
      </c>
      <c r="AH25" s="16">
        <f t="shared" si="6"/>
        <v>0.30769230769230771</v>
      </c>
      <c r="AI25" s="16">
        <f t="shared" si="7"/>
        <v>0.51889230769230776</v>
      </c>
      <c r="AJ25" s="16">
        <f t="shared" si="8"/>
        <v>0.2857142857142857</v>
      </c>
      <c r="AK25" s="16">
        <f t="shared" si="9"/>
        <v>0.13333333333333333</v>
      </c>
      <c r="AL25" s="16">
        <f t="shared" si="10"/>
        <v>0.53846153846153844</v>
      </c>
      <c r="AM25" s="16">
        <f t="shared" si="11"/>
        <v>0.8666666666666667</v>
      </c>
      <c r="AN25" s="16">
        <f t="shared" si="12"/>
        <v>6.6666666666666666E-2</v>
      </c>
      <c r="AO25" s="16">
        <f t="shared" si="13"/>
        <v>0.128</v>
      </c>
      <c r="AP25" s="16">
        <f>(AF25*Sheet2!$B$2)+(AG25*Sheet2!$B$3)+(AI25*Sheet2!$B$4)+(AJ25*Sheet2!$B$5)+(AK25*Sheet2!$B$6)+(AM25*Sheet2!$B$7)+(AN25*Sheet2!$B$8)</f>
        <v>56.720442723942732</v>
      </c>
      <c r="AQ25" s="16"/>
      <c r="AR25" s="16"/>
      <c r="AS25" s="16"/>
      <c r="AT25" s="16"/>
    </row>
    <row r="26" spans="1:47" s="9" customFormat="1" x14ac:dyDescent="0.25">
      <c r="A26" s="7">
        <v>19</v>
      </c>
      <c r="B26" s="8" t="s">
        <v>44</v>
      </c>
      <c r="C26" s="8">
        <v>3</v>
      </c>
      <c r="D26" s="8" t="s">
        <v>96</v>
      </c>
      <c r="E26" s="8">
        <v>3</v>
      </c>
      <c r="F26" s="8" t="s">
        <v>97</v>
      </c>
      <c r="G26" s="8">
        <v>6</v>
      </c>
      <c r="H26" s="8">
        <v>6</v>
      </c>
      <c r="I26" s="8">
        <v>46</v>
      </c>
      <c r="J26" s="8">
        <v>20</v>
      </c>
      <c r="K26" s="8">
        <v>46</v>
      </c>
      <c r="L26" s="8">
        <v>20</v>
      </c>
      <c r="M26" s="8">
        <v>0</v>
      </c>
      <c r="N26" s="8">
        <v>8</v>
      </c>
      <c r="O26" s="8">
        <f t="shared" si="0"/>
        <v>8</v>
      </c>
      <c r="P26" s="8">
        <v>2</v>
      </c>
      <c r="Q26" s="8">
        <v>2</v>
      </c>
      <c r="R26" s="8">
        <v>0</v>
      </c>
      <c r="S26" s="8">
        <v>0</v>
      </c>
      <c r="T26" s="8">
        <v>0</v>
      </c>
      <c r="U26" s="8">
        <v>5</v>
      </c>
      <c r="V26" s="8">
        <v>2</v>
      </c>
      <c r="W26" s="8">
        <v>2</v>
      </c>
      <c r="X26" s="8"/>
      <c r="Y26" s="8"/>
      <c r="Z26" s="8"/>
      <c r="AA26" s="8"/>
      <c r="AB26" s="8"/>
      <c r="AC26" s="8">
        <f t="shared" si="1"/>
        <v>0.69696969696969702</v>
      </c>
      <c r="AD26" s="8">
        <f t="shared" si="2"/>
        <v>0.69696969696969702</v>
      </c>
      <c r="AE26" s="8">
        <f t="shared" si="3"/>
        <v>0.77436969696969704</v>
      </c>
      <c r="AF26" s="8">
        <f t="shared" si="4"/>
        <v>0.788869696969697</v>
      </c>
      <c r="AG26" s="8">
        <f t="shared" si="5"/>
        <v>0.69696969696969702</v>
      </c>
      <c r="AH26" s="8">
        <f t="shared" si="6"/>
        <v>0</v>
      </c>
      <c r="AI26" s="8">
        <f t="shared" si="7"/>
        <v>0</v>
      </c>
      <c r="AJ26" s="8">
        <f t="shared" si="8"/>
        <v>0.12121212121212122</v>
      </c>
      <c r="AK26" s="8">
        <f t="shared" si="9"/>
        <v>0.33333333333333331</v>
      </c>
      <c r="AL26" s="8">
        <f t="shared" si="10"/>
        <v>0.4</v>
      </c>
      <c r="AM26" s="8">
        <f t="shared" si="11"/>
        <v>0.83333333333333337</v>
      </c>
      <c r="AN26" s="8">
        <f t="shared" si="12"/>
        <v>0.33333333333333331</v>
      </c>
      <c r="AO26" s="8">
        <f t="shared" si="13"/>
        <v>0</v>
      </c>
      <c r="AP26" s="8">
        <f>(AF26*Sheet2!$B$2)+(AG26*Sheet2!$B$3)+(AI26*Sheet2!$B$4)+(AJ26*Sheet2!$B$5)+(AK26*Sheet2!$B$6)+(AM26*Sheet2!$B$7)+(AN26*Sheet2!$B$8)</f>
        <v>56.095287878787886</v>
      </c>
      <c r="AQ26" s="8"/>
      <c r="AR26" s="8"/>
      <c r="AS26" s="8"/>
      <c r="AT26" s="8"/>
    </row>
    <row r="27" spans="1:47" s="9" customFormat="1" x14ac:dyDescent="0.25">
      <c r="A27" s="7">
        <v>20</v>
      </c>
      <c r="B27" s="8" t="s">
        <v>51</v>
      </c>
      <c r="C27" s="8">
        <v>2</v>
      </c>
      <c r="D27" s="8" t="s">
        <v>98</v>
      </c>
      <c r="E27" s="8">
        <v>3</v>
      </c>
      <c r="F27" s="8" t="s">
        <v>99</v>
      </c>
      <c r="G27" s="8">
        <v>19</v>
      </c>
      <c r="H27" s="8">
        <v>8</v>
      </c>
      <c r="I27" s="8">
        <v>86</v>
      </c>
      <c r="J27" s="8">
        <v>60</v>
      </c>
      <c r="K27" s="8">
        <v>136</v>
      </c>
      <c r="L27" s="8">
        <v>92</v>
      </c>
      <c r="M27" s="8">
        <v>21</v>
      </c>
      <c r="N27" s="8">
        <v>42</v>
      </c>
      <c r="O27" s="8">
        <f t="shared" si="0"/>
        <v>63</v>
      </c>
      <c r="P27" s="8">
        <v>7</v>
      </c>
      <c r="Q27" s="8">
        <v>6</v>
      </c>
      <c r="R27" s="8">
        <v>0</v>
      </c>
      <c r="S27" s="8">
        <v>0</v>
      </c>
      <c r="T27" s="8">
        <v>0</v>
      </c>
      <c r="U27" s="8">
        <v>12</v>
      </c>
      <c r="V27" s="8">
        <v>6</v>
      </c>
      <c r="W27" s="8">
        <v>4</v>
      </c>
      <c r="X27" s="8"/>
      <c r="Y27" s="8"/>
      <c r="Z27" s="8"/>
      <c r="AA27" s="8"/>
      <c r="AB27" s="8"/>
      <c r="AC27" s="8">
        <f t="shared" si="1"/>
        <v>0.58904109589041098</v>
      </c>
      <c r="AD27" s="8">
        <f t="shared" si="2"/>
        <v>0.58904109589041098</v>
      </c>
      <c r="AE27" s="8">
        <f t="shared" si="3"/>
        <v>0.69224109589041094</v>
      </c>
      <c r="AF27" s="8">
        <f t="shared" si="4"/>
        <v>0.69224109589041094</v>
      </c>
      <c r="AG27" s="8">
        <f t="shared" si="5"/>
        <v>0.59649122807017541</v>
      </c>
      <c r="AH27" s="8">
        <f t="shared" si="6"/>
        <v>0.33333333333333331</v>
      </c>
      <c r="AI27" s="8">
        <f t="shared" si="7"/>
        <v>0.61053333333333337</v>
      </c>
      <c r="AJ27" s="8">
        <f t="shared" si="8"/>
        <v>0.27631578947368424</v>
      </c>
      <c r="AK27" s="8">
        <f t="shared" si="9"/>
        <v>0.36842105263157893</v>
      </c>
      <c r="AL27" s="8">
        <f t="shared" si="10"/>
        <v>0.5</v>
      </c>
      <c r="AM27" s="8">
        <f t="shared" si="11"/>
        <v>0.63157894736842102</v>
      </c>
      <c r="AN27" s="8">
        <f t="shared" si="12"/>
        <v>0.21052631578947367</v>
      </c>
      <c r="AO27" s="8">
        <f t="shared" si="13"/>
        <v>0.15441176470588236</v>
      </c>
      <c r="AP27" s="8">
        <f>(AF27*Sheet2!$B$2)+(AG27*Sheet2!$B$3)+(AI27*Sheet2!$B$4)+(AJ27*Sheet2!$B$5)+(AK27*Sheet2!$B$6)+(AM27*Sheet2!$B$7)+(AN27*Sheet2!$B$8)</f>
        <v>56.079385724585435</v>
      </c>
      <c r="AQ27" s="8"/>
      <c r="AR27" s="8"/>
      <c r="AS27" s="8"/>
      <c r="AT27" s="8"/>
    </row>
    <row r="28" spans="1:47" s="9" customFormat="1" x14ac:dyDescent="0.25">
      <c r="A28" s="7">
        <v>21</v>
      </c>
      <c r="B28" s="8" t="s">
        <v>44</v>
      </c>
      <c r="C28" s="8">
        <v>3</v>
      </c>
      <c r="D28" s="8" t="s">
        <v>100</v>
      </c>
      <c r="E28" s="8">
        <v>4</v>
      </c>
      <c r="F28" s="8" t="s">
        <v>101</v>
      </c>
      <c r="G28" s="8">
        <v>19</v>
      </c>
      <c r="H28" s="8">
        <v>19</v>
      </c>
      <c r="I28" s="8">
        <v>135</v>
      </c>
      <c r="J28" s="8">
        <v>89</v>
      </c>
      <c r="K28" s="8">
        <v>135</v>
      </c>
      <c r="L28" s="8">
        <v>89</v>
      </c>
      <c r="M28" s="8">
        <v>1</v>
      </c>
      <c r="N28" s="8">
        <v>19</v>
      </c>
      <c r="O28" s="8">
        <f t="shared" si="0"/>
        <v>20</v>
      </c>
      <c r="P28" s="8">
        <v>2</v>
      </c>
      <c r="Q28" s="8">
        <v>0</v>
      </c>
      <c r="R28" s="8">
        <v>0</v>
      </c>
      <c r="S28" s="8">
        <v>0</v>
      </c>
      <c r="T28" s="8">
        <v>0</v>
      </c>
      <c r="U28" s="8">
        <v>13</v>
      </c>
      <c r="V28" s="8">
        <v>8</v>
      </c>
      <c r="W28" s="8">
        <v>1</v>
      </c>
      <c r="X28" s="8"/>
      <c r="Y28" s="8"/>
      <c r="Z28" s="8"/>
      <c r="AA28" s="8"/>
      <c r="AB28" s="8"/>
      <c r="AC28" s="8">
        <f t="shared" si="1"/>
        <v>0.6026785714285714</v>
      </c>
      <c r="AD28" s="8">
        <f t="shared" si="2"/>
        <v>0.67447857142857137</v>
      </c>
      <c r="AE28" s="8">
        <f t="shared" si="3"/>
        <v>0.91957857142857136</v>
      </c>
      <c r="AF28" s="8">
        <f t="shared" si="4"/>
        <v>0.93407857142857131</v>
      </c>
      <c r="AG28" s="8">
        <f t="shared" si="5"/>
        <v>0.6026785714285714</v>
      </c>
      <c r="AH28" s="8">
        <f t="shared" si="6"/>
        <v>0.05</v>
      </c>
      <c r="AI28" s="8">
        <f t="shared" si="7"/>
        <v>6.3200000000000006E-2</v>
      </c>
      <c r="AJ28" s="8">
        <f t="shared" si="8"/>
        <v>8.9285714285714288E-2</v>
      </c>
      <c r="AK28" s="8">
        <f t="shared" si="9"/>
        <v>0.10526315789473684</v>
      </c>
      <c r="AL28" s="8">
        <f t="shared" si="10"/>
        <v>0.61538461538461542</v>
      </c>
      <c r="AM28" s="8">
        <f t="shared" si="11"/>
        <v>0.68421052631578949</v>
      </c>
      <c r="AN28" s="8">
        <f t="shared" si="12"/>
        <v>5.2631578947368418E-2</v>
      </c>
      <c r="AO28" s="8">
        <f t="shared" si="13"/>
        <v>7.4074074074074077E-3</v>
      </c>
      <c r="AP28" s="8">
        <f>(AF28*Sheet2!$B$2)+(AG28*Sheet2!$B$3)+(AI28*Sheet2!$B$4)+(AJ28*Sheet2!$B$5)+(AK28*Sheet2!$B$6)+(AM28*Sheet2!$B$7)+(AN28*Sheet2!$B$8)</f>
        <v>54.429073308270674</v>
      </c>
      <c r="AQ28" s="8"/>
      <c r="AR28" s="8"/>
      <c r="AS28" s="8"/>
      <c r="AT28" s="8"/>
    </row>
    <row r="29" spans="1:47" s="9" customFormat="1" x14ac:dyDescent="0.25">
      <c r="A29" s="7">
        <v>22</v>
      </c>
      <c r="B29" s="8" t="s">
        <v>41</v>
      </c>
      <c r="C29" s="8">
        <v>2</v>
      </c>
      <c r="D29" s="8" t="s">
        <v>102</v>
      </c>
      <c r="E29" s="8">
        <v>2</v>
      </c>
      <c r="F29" s="8" t="s">
        <v>103</v>
      </c>
      <c r="G29" s="8">
        <v>12</v>
      </c>
      <c r="H29" s="8">
        <v>3</v>
      </c>
      <c r="I29" s="8">
        <v>19</v>
      </c>
      <c r="J29" s="8">
        <v>8</v>
      </c>
      <c r="K29" s="8">
        <v>85</v>
      </c>
      <c r="L29" s="8">
        <v>52</v>
      </c>
      <c r="M29" s="8">
        <v>11</v>
      </c>
      <c r="N29" s="8">
        <v>12</v>
      </c>
      <c r="O29" s="8">
        <f t="shared" si="0"/>
        <v>23</v>
      </c>
      <c r="P29" s="8">
        <v>4</v>
      </c>
      <c r="Q29" s="8">
        <v>2</v>
      </c>
      <c r="R29" s="8">
        <v>0</v>
      </c>
      <c r="S29" s="8">
        <v>0</v>
      </c>
      <c r="T29" s="8">
        <v>0</v>
      </c>
      <c r="U29" s="8">
        <v>8</v>
      </c>
      <c r="V29" s="8">
        <v>6</v>
      </c>
      <c r="W29" s="8">
        <v>0</v>
      </c>
      <c r="X29" s="8"/>
      <c r="Y29" s="8"/>
      <c r="Z29" s="8"/>
      <c r="AA29" s="8"/>
      <c r="AB29" s="8"/>
      <c r="AC29" s="8">
        <f t="shared" si="1"/>
        <v>0.70370370370370372</v>
      </c>
      <c r="AD29" s="8">
        <f t="shared" si="2"/>
        <v>0.63190370370370375</v>
      </c>
      <c r="AE29" s="8">
        <f t="shared" si="3"/>
        <v>0.6706037037037037</v>
      </c>
      <c r="AF29" s="8">
        <f t="shared" si="4"/>
        <v>0.6706037037037037</v>
      </c>
      <c r="AG29" s="8">
        <f t="shared" si="5"/>
        <v>0.62043795620437958</v>
      </c>
      <c r="AH29" s="8">
        <f t="shared" si="6"/>
        <v>0.47826086956521741</v>
      </c>
      <c r="AI29" s="8">
        <f t="shared" si="7"/>
        <v>0.6234608695652174</v>
      </c>
      <c r="AJ29" s="8">
        <f t="shared" si="8"/>
        <v>0.16788321167883211</v>
      </c>
      <c r="AK29" s="8">
        <f t="shared" si="9"/>
        <v>0.33333333333333331</v>
      </c>
      <c r="AL29" s="8">
        <f t="shared" si="10"/>
        <v>0.75</v>
      </c>
      <c r="AM29" s="8">
        <f t="shared" si="11"/>
        <v>0.66666666666666663</v>
      </c>
      <c r="AN29" s="8">
        <f t="shared" si="12"/>
        <v>0</v>
      </c>
      <c r="AO29" s="8">
        <f t="shared" si="13"/>
        <v>0.12941176470588237</v>
      </c>
      <c r="AP29" s="8">
        <f>(AF29*Sheet2!$B$2)+(AG29*Sheet2!$B$3)+(AI29*Sheet2!$B$4)+(AJ29*Sheet2!$B$5)+(AK29*Sheet2!$B$6)+(AM29*Sheet2!$B$7)+(AN29*Sheet2!$B$8)</f>
        <v>53.793329566157716</v>
      </c>
      <c r="AQ29" s="8"/>
      <c r="AR29" s="8"/>
      <c r="AS29" s="8"/>
      <c r="AT29" s="8"/>
    </row>
    <row r="30" spans="1:47" s="17" customFormat="1" x14ac:dyDescent="0.25">
      <c r="A30" s="15">
        <v>23</v>
      </c>
      <c r="B30" s="16" t="s">
        <v>59</v>
      </c>
      <c r="C30" s="16">
        <v>1</v>
      </c>
      <c r="D30" s="16" t="s">
        <v>104</v>
      </c>
      <c r="E30" s="16">
        <v>1</v>
      </c>
      <c r="F30" s="16" t="s">
        <v>105</v>
      </c>
      <c r="G30" s="16">
        <v>35</v>
      </c>
      <c r="H30" s="16">
        <v>4</v>
      </c>
      <c r="I30" s="16">
        <v>29</v>
      </c>
      <c r="J30" s="16">
        <v>11</v>
      </c>
      <c r="K30" s="16">
        <v>292</v>
      </c>
      <c r="L30" s="16">
        <v>107</v>
      </c>
      <c r="M30" s="16">
        <v>35</v>
      </c>
      <c r="N30" s="16">
        <v>37</v>
      </c>
      <c r="O30" s="16">
        <f t="shared" si="0"/>
        <v>72</v>
      </c>
      <c r="P30" s="16">
        <v>1</v>
      </c>
      <c r="Q30" s="16">
        <v>0</v>
      </c>
      <c r="R30" s="16">
        <v>0</v>
      </c>
      <c r="S30" s="16">
        <v>0</v>
      </c>
      <c r="T30" s="16">
        <v>0</v>
      </c>
      <c r="U30" s="16">
        <v>16</v>
      </c>
      <c r="V30" s="16">
        <v>10</v>
      </c>
      <c r="W30" s="16">
        <v>4</v>
      </c>
      <c r="X30" s="16"/>
      <c r="Y30" s="16"/>
      <c r="Z30" s="16"/>
      <c r="AA30" s="16"/>
      <c r="AB30" s="16"/>
      <c r="AC30" s="16">
        <f t="shared" si="1"/>
        <v>0.72499999999999998</v>
      </c>
      <c r="AD30" s="16">
        <f t="shared" si="2"/>
        <v>0.58139999999999992</v>
      </c>
      <c r="AE30" s="16">
        <f t="shared" si="3"/>
        <v>0.6329999999999999</v>
      </c>
      <c r="AF30" s="16">
        <f t="shared" si="4"/>
        <v>0.61849999999999994</v>
      </c>
      <c r="AG30" s="16">
        <f t="shared" si="5"/>
        <v>0.73182957393483705</v>
      </c>
      <c r="AH30" s="16">
        <f t="shared" si="6"/>
        <v>0.4861111111111111</v>
      </c>
      <c r="AI30" s="16">
        <f t="shared" si="7"/>
        <v>0.94811111111111113</v>
      </c>
      <c r="AJ30" s="16">
        <f t="shared" si="8"/>
        <v>0.18045112781954886</v>
      </c>
      <c r="AK30" s="16">
        <f t="shared" si="9"/>
        <v>2.8571428571428571E-2</v>
      </c>
      <c r="AL30" s="16">
        <f t="shared" si="10"/>
        <v>0.625</v>
      </c>
      <c r="AM30" s="16">
        <f t="shared" si="11"/>
        <v>0.45714285714285713</v>
      </c>
      <c r="AN30" s="16">
        <f t="shared" si="12"/>
        <v>0.11428571428571428</v>
      </c>
      <c r="AO30" s="16">
        <f t="shared" si="13"/>
        <v>0.11986301369863013</v>
      </c>
      <c r="AP30" s="16">
        <f>(AF30*Sheet2!$B$2)+(AG30*Sheet2!$B$3)+(AI30*Sheet2!$B$4)+(AJ30*Sheet2!$B$5)+(AK30*Sheet2!$B$6)+(AM30*Sheet2!$B$7)+(AN30*Sheet2!$B$8)</f>
        <v>52.998285296574764</v>
      </c>
      <c r="AQ30" s="16"/>
      <c r="AR30" s="16"/>
      <c r="AS30" s="16"/>
      <c r="AT30" s="16"/>
    </row>
    <row r="31" spans="1:47" s="9" customFormat="1" x14ac:dyDescent="0.25">
      <c r="A31" s="7">
        <v>24</v>
      </c>
      <c r="B31" s="8" t="s">
        <v>51</v>
      </c>
      <c r="C31" s="8">
        <v>2</v>
      </c>
      <c r="D31" s="8" t="s">
        <v>106</v>
      </c>
      <c r="E31" s="8">
        <v>3</v>
      </c>
      <c r="F31" s="8" t="s">
        <v>107</v>
      </c>
      <c r="G31" s="8">
        <v>10</v>
      </c>
      <c r="H31" s="8">
        <v>10</v>
      </c>
      <c r="I31" s="8">
        <v>72</v>
      </c>
      <c r="J31" s="8">
        <v>43</v>
      </c>
      <c r="K31" s="8">
        <v>72</v>
      </c>
      <c r="L31" s="8">
        <v>43</v>
      </c>
      <c r="M31" s="8">
        <v>8</v>
      </c>
      <c r="N31" s="8">
        <v>11</v>
      </c>
      <c r="O31" s="8">
        <f t="shared" si="0"/>
        <v>19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7</v>
      </c>
      <c r="V31" s="8">
        <v>5</v>
      </c>
      <c r="W31" s="8">
        <v>0</v>
      </c>
      <c r="X31" s="8"/>
      <c r="Y31" s="8"/>
      <c r="Z31" s="8"/>
      <c r="AA31" s="8"/>
      <c r="AB31" s="8"/>
      <c r="AC31" s="8">
        <f t="shared" si="1"/>
        <v>0.62608695652173918</v>
      </c>
      <c r="AD31" s="8">
        <f t="shared" si="2"/>
        <v>0.62608695652173918</v>
      </c>
      <c r="AE31" s="8">
        <f t="shared" si="3"/>
        <v>0.75508695652173918</v>
      </c>
      <c r="AF31" s="8">
        <f t="shared" si="4"/>
        <v>0.75508695652173918</v>
      </c>
      <c r="AG31" s="8">
        <f t="shared" si="5"/>
        <v>0.62608695652173918</v>
      </c>
      <c r="AH31" s="8">
        <f t="shared" si="6"/>
        <v>0.42105263157894735</v>
      </c>
      <c r="AI31" s="8">
        <f t="shared" si="7"/>
        <v>0.52665263157894737</v>
      </c>
      <c r="AJ31" s="8">
        <f t="shared" si="8"/>
        <v>0.16521739130434782</v>
      </c>
      <c r="AK31" s="8">
        <f t="shared" si="9"/>
        <v>0</v>
      </c>
      <c r="AL31" s="8">
        <f t="shared" si="10"/>
        <v>0.7142857142857143</v>
      </c>
      <c r="AM31" s="8">
        <f t="shared" si="11"/>
        <v>0.7</v>
      </c>
      <c r="AN31" s="8">
        <f t="shared" si="12"/>
        <v>0</v>
      </c>
      <c r="AO31" s="8">
        <f t="shared" si="13"/>
        <v>0.1111111111111111</v>
      </c>
      <c r="AP31" s="8">
        <f>(AF31*Sheet2!$B$2)+(AG31*Sheet2!$B$3)+(AI31*Sheet2!$B$4)+(AJ31*Sheet2!$B$5)+(AK31*Sheet2!$B$6)+(AM31*Sheet2!$B$7)+(AN31*Sheet2!$B$8)</f>
        <v>52.86848283752861</v>
      </c>
      <c r="AQ31" s="8"/>
      <c r="AR31" s="8"/>
      <c r="AS31" s="8"/>
      <c r="AT31" s="8"/>
    </row>
    <row r="32" spans="1:47" s="9" customFormat="1" x14ac:dyDescent="0.25">
      <c r="A32" s="7">
        <v>25</v>
      </c>
      <c r="B32" s="8" t="s">
        <v>41</v>
      </c>
      <c r="C32" s="8">
        <v>2</v>
      </c>
      <c r="D32" s="8" t="s">
        <v>108</v>
      </c>
      <c r="E32" s="8">
        <v>3</v>
      </c>
      <c r="F32" s="8" t="s">
        <v>109</v>
      </c>
      <c r="G32" s="8">
        <v>15</v>
      </c>
      <c r="H32" s="8">
        <v>13</v>
      </c>
      <c r="I32" s="8">
        <v>87</v>
      </c>
      <c r="J32" s="8">
        <v>65</v>
      </c>
      <c r="K32" s="8">
        <v>110</v>
      </c>
      <c r="L32" s="8">
        <v>69</v>
      </c>
      <c r="M32" s="8">
        <v>8</v>
      </c>
      <c r="N32" s="8">
        <v>28</v>
      </c>
      <c r="O32" s="8">
        <f t="shared" si="0"/>
        <v>36</v>
      </c>
      <c r="P32" s="8">
        <v>2</v>
      </c>
      <c r="Q32" s="8">
        <v>2</v>
      </c>
      <c r="R32" s="8">
        <v>0</v>
      </c>
      <c r="S32" s="8">
        <v>0</v>
      </c>
      <c r="T32" s="8">
        <v>0</v>
      </c>
      <c r="U32" s="8">
        <v>12</v>
      </c>
      <c r="V32" s="8">
        <v>4</v>
      </c>
      <c r="W32" s="8">
        <v>0</v>
      </c>
      <c r="X32" s="8"/>
      <c r="Y32" s="8"/>
      <c r="Z32" s="8"/>
      <c r="AA32" s="8"/>
      <c r="AB32" s="8"/>
      <c r="AC32" s="8">
        <f t="shared" si="1"/>
        <v>0.57236842105263153</v>
      </c>
      <c r="AD32" s="8">
        <f t="shared" si="2"/>
        <v>0.57236842105263153</v>
      </c>
      <c r="AE32" s="8">
        <f t="shared" si="3"/>
        <v>0.74006842105263149</v>
      </c>
      <c r="AF32" s="8">
        <f t="shared" si="4"/>
        <v>0.74006842105263149</v>
      </c>
      <c r="AG32" s="8">
        <f t="shared" si="5"/>
        <v>0.61452513966480449</v>
      </c>
      <c r="AH32" s="8">
        <f t="shared" si="6"/>
        <v>0.22222222222222221</v>
      </c>
      <c r="AI32" s="8">
        <f t="shared" si="7"/>
        <v>0.32782222222222224</v>
      </c>
      <c r="AJ32" s="8">
        <f t="shared" si="8"/>
        <v>0.2011173184357542</v>
      </c>
      <c r="AK32" s="8">
        <f t="shared" si="9"/>
        <v>0.13333333333333333</v>
      </c>
      <c r="AL32" s="8">
        <f t="shared" si="10"/>
        <v>0.33333333333333331</v>
      </c>
      <c r="AM32" s="8">
        <f t="shared" si="11"/>
        <v>0.8</v>
      </c>
      <c r="AN32" s="8">
        <f t="shared" si="12"/>
        <v>0</v>
      </c>
      <c r="AO32" s="8">
        <f t="shared" si="13"/>
        <v>7.2727272727272724E-2</v>
      </c>
      <c r="AP32" s="8">
        <f>(AF32*Sheet2!$B$2)+(AG32*Sheet2!$B$3)+(AI32*Sheet2!$B$4)+(AJ32*Sheet2!$B$5)+(AK32*Sheet2!$B$6)+(AM32*Sheet2!$B$7)+(AN32*Sheet2!$B$8)</f>
        <v>52.81562627005129</v>
      </c>
      <c r="AQ32" s="8"/>
      <c r="AR32" s="8"/>
      <c r="AS32" s="8"/>
      <c r="AT32" s="8"/>
    </row>
    <row r="33" spans="1:46" x14ac:dyDescent="0.25">
      <c r="A33" s="4">
        <v>26</v>
      </c>
      <c r="B33" s="1" t="s">
        <v>44</v>
      </c>
      <c r="C33" s="1">
        <v>3</v>
      </c>
      <c r="D33" s="1" t="s">
        <v>110</v>
      </c>
      <c r="E33" s="1">
        <v>4</v>
      </c>
      <c r="F33" s="1" t="s">
        <v>111</v>
      </c>
      <c r="G33" s="1">
        <v>12</v>
      </c>
      <c r="H33" s="1">
        <v>12</v>
      </c>
      <c r="I33" s="1">
        <v>82</v>
      </c>
      <c r="J33" s="1">
        <v>57</v>
      </c>
      <c r="K33" s="1">
        <v>82</v>
      </c>
      <c r="L33" s="1">
        <v>57</v>
      </c>
      <c r="M33" s="1">
        <v>2</v>
      </c>
      <c r="N33" s="1">
        <v>10</v>
      </c>
      <c r="O33" s="1">
        <f t="shared" si="0"/>
        <v>12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1">
        <v>6</v>
      </c>
      <c r="V33" s="1">
        <v>5</v>
      </c>
      <c r="W33" s="1">
        <v>7</v>
      </c>
      <c r="AC33" s="1">
        <f t="shared" si="1"/>
        <v>0.58992805755395683</v>
      </c>
      <c r="AD33" s="1">
        <f t="shared" si="2"/>
        <v>0.66172805755395681</v>
      </c>
      <c r="AE33" s="1">
        <f t="shared" si="3"/>
        <v>0.81652805755395685</v>
      </c>
      <c r="AF33" s="2">
        <f t="shared" si="4"/>
        <v>0.83102805755395681</v>
      </c>
      <c r="AG33" s="2">
        <f t="shared" si="5"/>
        <v>0.58992805755395683</v>
      </c>
      <c r="AH33" s="1">
        <f t="shared" si="6"/>
        <v>0.16666666666666666</v>
      </c>
      <c r="AI33" s="2">
        <f t="shared" si="7"/>
        <v>0.19306666666666666</v>
      </c>
      <c r="AJ33" s="2">
        <f t="shared" si="8"/>
        <v>8.6330935251798566E-2</v>
      </c>
      <c r="AK33" s="2">
        <f t="shared" si="9"/>
        <v>8.3333333333333329E-2</v>
      </c>
      <c r="AL33" s="1">
        <f t="shared" si="10"/>
        <v>0.83333333333333337</v>
      </c>
      <c r="AM33" s="2">
        <f t="shared" si="11"/>
        <v>0.5</v>
      </c>
      <c r="AN33" s="2">
        <f t="shared" si="12"/>
        <v>0.58333333333333337</v>
      </c>
      <c r="AO33" s="1">
        <f t="shared" si="13"/>
        <v>2.4390243902439025E-2</v>
      </c>
      <c r="AP33" s="5">
        <f>(AF33*Sheet2!$B$2)+(AG33*Sheet2!$B$3)+(AI33*Sheet2!$B$4)+(AJ33*Sheet2!$B$5)+(AK33*Sheet2!$B$6)+(AM33*Sheet2!$B$7)+(AN33*Sheet2!$B$8)</f>
        <v>52.428519184652281</v>
      </c>
      <c r="AQ33" s="1"/>
      <c r="AR33" s="1"/>
      <c r="AS33" s="1"/>
      <c r="AT33" s="1"/>
    </row>
    <row r="34" spans="1:46" x14ac:dyDescent="0.25">
      <c r="A34" s="4">
        <v>27</v>
      </c>
      <c r="B34" s="1" t="s">
        <v>51</v>
      </c>
      <c r="C34" s="1">
        <v>2</v>
      </c>
      <c r="D34" s="1" t="s">
        <v>112</v>
      </c>
      <c r="E34" s="1">
        <v>2</v>
      </c>
      <c r="F34" s="1" t="s">
        <v>113</v>
      </c>
      <c r="G34" s="1">
        <v>8</v>
      </c>
      <c r="H34" s="1">
        <v>8</v>
      </c>
      <c r="I34" s="1">
        <v>48</v>
      </c>
      <c r="J34" s="1">
        <v>28</v>
      </c>
      <c r="K34" s="1">
        <v>48</v>
      </c>
      <c r="L34" s="1">
        <v>28</v>
      </c>
      <c r="M34" s="1">
        <v>10</v>
      </c>
      <c r="N34" s="1">
        <v>10</v>
      </c>
      <c r="O34" s="1">
        <f t="shared" ref="O34:O65" si="14">N34+M34</f>
        <v>20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5</v>
      </c>
      <c r="V34" s="1">
        <v>3</v>
      </c>
      <c r="W34" s="1">
        <v>0</v>
      </c>
      <c r="AC34" s="1">
        <f t="shared" ref="AC34:AC65" si="15">I34/(SUM(I34:J34))</f>
        <v>0.63157894736842102</v>
      </c>
      <c r="AD34" s="1">
        <f t="shared" ref="AD34:AD65" si="16">IF($E34=1,AC34-0.1436,IF($E34=2,AC34-0.0718,IF($E34 = 3,AC34,IF($E34=4,AC34+0.0718, IF($E34=5,AC34+0.1436)))))</f>
        <v>0.55977894736842104</v>
      </c>
      <c r="AE34" s="1">
        <f t="shared" ref="AE34:AE65" si="17">AD34+(0.0129*H34)</f>
        <v>0.662978947368421</v>
      </c>
      <c r="AF34" s="2">
        <f t="shared" ref="AF34:AF65" si="18">IF(C34=1,AE34-0.0145,IF(C34=2,AE34,IF(C34=3,AE34+0.0145)))</f>
        <v>0.662978947368421</v>
      </c>
      <c r="AG34" s="2">
        <f t="shared" ref="AG34:AG65" si="19">K34/(SUM(K34:L34))</f>
        <v>0.63157894736842102</v>
      </c>
      <c r="AH34" s="1">
        <f t="shared" ref="AH34:AH65" si="20">M34/(SUM(M34:N34))</f>
        <v>0.5</v>
      </c>
      <c r="AI34" s="2">
        <f t="shared" ref="AI34:AI65" si="21">AH34+(0.0132*M34)</f>
        <v>0.63200000000000001</v>
      </c>
      <c r="AJ34" s="2">
        <f t="shared" ref="AJ34:AJ65" si="22">SUM(M34:N34)/SUM(K34:L34)</f>
        <v>0.26315789473684209</v>
      </c>
      <c r="AK34" s="2">
        <f t="shared" ref="AK34:AK65" si="23">P34/G34</f>
        <v>0.125</v>
      </c>
      <c r="AL34" s="1">
        <f t="shared" ref="AL34:AL65" si="24">V34/U34</f>
        <v>0.6</v>
      </c>
      <c r="AM34" s="2">
        <f t="shared" ref="AM34:AM65" si="25">U34/G34</f>
        <v>0.625</v>
      </c>
      <c r="AN34" s="2">
        <f t="shared" ref="AN34:AN65" si="26">W34/G34</f>
        <v>0</v>
      </c>
      <c r="AO34" s="1">
        <f t="shared" ref="AO34:AO65" si="27">M34/K34</f>
        <v>0.20833333333333334</v>
      </c>
      <c r="AP34" s="5">
        <f>(AF34*Sheet2!$B$2)+(AG34*Sheet2!$B$3)+(AI34*Sheet2!$B$4)+(AJ34*Sheet2!$B$5)+(AK34*Sheet2!$B$6)+(AM34*Sheet2!$B$7)+(AN34*Sheet2!$B$8)</f>
        <v>52.287421052631572</v>
      </c>
      <c r="AQ34" s="1"/>
      <c r="AR34" s="1"/>
      <c r="AS34" s="1"/>
      <c r="AT34" s="1"/>
    </row>
    <row r="35" spans="1:46" x14ac:dyDescent="0.25">
      <c r="A35" s="4">
        <v>28</v>
      </c>
      <c r="B35" s="1" t="s">
        <v>44</v>
      </c>
      <c r="C35" s="1">
        <v>3</v>
      </c>
      <c r="D35" s="1" t="s">
        <v>114</v>
      </c>
      <c r="E35" s="1">
        <v>4</v>
      </c>
      <c r="F35" s="1" t="s">
        <v>115</v>
      </c>
      <c r="G35" s="1">
        <v>7</v>
      </c>
      <c r="H35" s="1">
        <v>7</v>
      </c>
      <c r="I35" s="1">
        <v>48</v>
      </c>
      <c r="J35" s="1">
        <v>32</v>
      </c>
      <c r="K35" s="1">
        <v>48</v>
      </c>
      <c r="L35" s="1">
        <v>32</v>
      </c>
      <c r="M35" s="1">
        <v>0</v>
      </c>
      <c r="N35" s="1">
        <v>3</v>
      </c>
      <c r="O35" s="1">
        <f t="shared" si="14"/>
        <v>3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6</v>
      </c>
      <c r="V35" s="1">
        <v>4</v>
      </c>
      <c r="W35" s="1">
        <v>1</v>
      </c>
      <c r="AC35" s="1">
        <f t="shared" si="15"/>
        <v>0.6</v>
      </c>
      <c r="AD35" s="1">
        <f t="shared" si="16"/>
        <v>0.67179999999999995</v>
      </c>
      <c r="AE35" s="1">
        <f t="shared" si="17"/>
        <v>0.7621</v>
      </c>
      <c r="AF35" s="2">
        <f t="shared" si="18"/>
        <v>0.77659999999999996</v>
      </c>
      <c r="AG35" s="2">
        <f t="shared" si="19"/>
        <v>0.6</v>
      </c>
      <c r="AH35" s="1">
        <f t="shared" si="20"/>
        <v>0</v>
      </c>
      <c r="AI35" s="2">
        <f t="shared" si="21"/>
        <v>0</v>
      </c>
      <c r="AJ35" s="2">
        <f t="shared" si="22"/>
        <v>3.7499999999999999E-2</v>
      </c>
      <c r="AK35" s="2">
        <f t="shared" si="23"/>
        <v>0.2857142857142857</v>
      </c>
      <c r="AL35" s="1">
        <f t="shared" si="24"/>
        <v>0.66666666666666663</v>
      </c>
      <c r="AM35" s="2">
        <f t="shared" si="25"/>
        <v>0.8571428571428571</v>
      </c>
      <c r="AN35" s="2">
        <f t="shared" si="26"/>
        <v>0.14285714285714285</v>
      </c>
      <c r="AO35" s="1">
        <f t="shared" si="27"/>
        <v>0</v>
      </c>
      <c r="AP35" s="5">
        <f>(AF35*Sheet2!$B$2)+(AG35*Sheet2!$B$3)+(AI35*Sheet2!$B$4)+(AJ35*Sheet2!$B$5)+(AK35*Sheet2!$B$6)+(AM35*Sheet2!$B$7)+(AN35*Sheet2!$B$8)</f>
        <v>51.698857142857136</v>
      </c>
      <c r="AQ35" s="1"/>
      <c r="AR35" s="1"/>
      <c r="AS35" s="1"/>
      <c r="AT35" s="1"/>
    </row>
    <row r="36" spans="1:46" x14ac:dyDescent="0.25">
      <c r="A36" s="4">
        <v>29</v>
      </c>
      <c r="B36" s="1" t="s">
        <v>51</v>
      </c>
      <c r="C36" s="1">
        <v>2</v>
      </c>
      <c r="D36" s="1" t="s">
        <v>116</v>
      </c>
      <c r="E36" s="1">
        <v>3</v>
      </c>
      <c r="F36" s="1" t="s">
        <v>117</v>
      </c>
      <c r="G36" s="1">
        <v>15</v>
      </c>
      <c r="H36" s="1">
        <v>10</v>
      </c>
      <c r="I36" s="1">
        <v>64</v>
      </c>
      <c r="J36" s="1">
        <v>51</v>
      </c>
      <c r="K36" s="1">
        <v>99</v>
      </c>
      <c r="L36" s="1">
        <v>66</v>
      </c>
      <c r="M36" s="1">
        <v>3</v>
      </c>
      <c r="N36" s="1">
        <v>6</v>
      </c>
      <c r="O36" s="1">
        <f t="shared" si="14"/>
        <v>9</v>
      </c>
      <c r="P36" s="1">
        <v>4</v>
      </c>
      <c r="Q36" s="1">
        <v>0</v>
      </c>
      <c r="R36" s="1">
        <v>0</v>
      </c>
      <c r="S36" s="1">
        <v>0</v>
      </c>
      <c r="T36" s="1">
        <v>0</v>
      </c>
      <c r="U36" s="1">
        <v>10</v>
      </c>
      <c r="V36" s="1">
        <v>5</v>
      </c>
      <c r="W36" s="1">
        <v>6</v>
      </c>
      <c r="AC36" s="1">
        <f t="shared" si="15"/>
        <v>0.55652173913043479</v>
      </c>
      <c r="AD36" s="1">
        <f t="shared" si="16"/>
        <v>0.55652173913043479</v>
      </c>
      <c r="AE36" s="1">
        <f t="shared" si="17"/>
        <v>0.68552173913043479</v>
      </c>
      <c r="AF36" s="2">
        <f t="shared" si="18"/>
        <v>0.68552173913043479</v>
      </c>
      <c r="AG36" s="2">
        <f t="shared" si="19"/>
        <v>0.6</v>
      </c>
      <c r="AH36" s="1">
        <f t="shared" si="20"/>
        <v>0.33333333333333331</v>
      </c>
      <c r="AI36" s="2">
        <f t="shared" si="21"/>
        <v>0.37293333333333334</v>
      </c>
      <c r="AJ36" s="2">
        <f t="shared" si="22"/>
        <v>5.4545454545454543E-2</v>
      </c>
      <c r="AK36" s="2">
        <f t="shared" si="23"/>
        <v>0.26666666666666666</v>
      </c>
      <c r="AL36" s="1">
        <f t="shared" si="24"/>
        <v>0.5</v>
      </c>
      <c r="AM36" s="2">
        <f t="shared" si="25"/>
        <v>0.66666666666666663</v>
      </c>
      <c r="AN36" s="2">
        <f t="shared" si="26"/>
        <v>0.4</v>
      </c>
      <c r="AO36" s="1">
        <f t="shared" si="27"/>
        <v>3.0303030303030304E-2</v>
      </c>
      <c r="AP36" s="5">
        <f>(AF36*Sheet2!$B$2)+(AG36*Sheet2!$B$3)+(AI36*Sheet2!$B$4)+(AJ36*Sheet2!$B$5)+(AK36*Sheet2!$B$6)+(AM36*Sheet2!$B$7)+(AN36*Sheet2!$B$8)</f>
        <v>51.601382081686431</v>
      </c>
      <c r="AQ36" s="1"/>
      <c r="AR36" s="1"/>
      <c r="AS36" s="1"/>
      <c r="AT36" s="1"/>
    </row>
    <row r="37" spans="1:46" s="17" customFormat="1" x14ac:dyDescent="0.25">
      <c r="A37" s="15">
        <v>30</v>
      </c>
      <c r="B37" s="16" t="s">
        <v>59</v>
      </c>
      <c r="C37" s="16">
        <v>1</v>
      </c>
      <c r="D37" s="16" t="s">
        <v>118</v>
      </c>
      <c r="E37" s="16">
        <v>1</v>
      </c>
      <c r="F37" s="16" t="s">
        <v>119</v>
      </c>
      <c r="G37" s="16">
        <v>12</v>
      </c>
      <c r="H37" s="16">
        <v>5</v>
      </c>
      <c r="I37" s="16">
        <v>38</v>
      </c>
      <c r="J37" s="16">
        <v>17</v>
      </c>
      <c r="K37" s="16">
        <v>84</v>
      </c>
      <c r="L37" s="16">
        <v>52</v>
      </c>
      <c r="M37" s="16">
        <v>13</v>
      </c>
      <c r="N37" s="16">
        <v>22</v>
      </c>
      <c r="O37" s="16">
        <f t="shared" si="14"/>
        <v>35</v>
      </c>
      <c r="P37" s="16">
        <v>2</v>
      </c>
      <c r="Q37" s="16">
        <v>1</v>
      </c>
      <c r="R37" s="16">
        <v>2</v>
      </c>
      <c r="S37" s="16">
        <v>0</v>
      </c>
      <c r="T37" s="16">
        <v>0</v>
      </c>
      <c r="U37" s="16">
        <v>9</v>
      </c>
      <c r="V37" s="16">
        <v>4</v>
      </c>
      <c r="W37" s="16">
        <v>2</v>
      </c>
      <c r="X37" s="16"/>
      <c r="Y37" s="16"/>
      <c r="Z37" s="16"/>
      <c r="AA37" s="16"/>
      <c r="AB37" s="16"/>
      <c r="AC37" s="16">
        <f t="shared" si="15"/>
        <v>0.69090909090909092</v>
      </c>
      <c r="AD37" s="16">
        <f t="shared" si="16"/>
        <v>0.54730909090909097</v>
      </c>
      <c r="AE37" s="16">
        <f t="shared" si="17"/>
        <v>0.61180909090909097</v>
      </c>
      <c r="AF37" s="16">
        <f t="shared" si="18"/>
        <v>0.59730909090909101</v>
      </c>
      <c r="AG37" s="16">
        <f t="shared" si="19"/>
        <v>0.61764705882352944</v>
      </c>
      <c r="AH37" s="16">
        <f t="shared" si="20"/>
        <v>0.37142857142857144</v>
      </c>
      <c r="AI37" s="16">
        <f t="shared" si="21"/>
        <v>0.54302857142857142</v>
      </c>
      <c r="AJ37" s="16">
        <f t="shared" si="22"/>
        <v>0.25735294117647056</v>
      </c>
      <c r="AK37" s="16">
        <f t="shared" si="23"/>
        <v>0.16666666666666666</v>
      </c>
      <c r="AL37" s="16">
        <f t="shared" si="24"/>
        <v>0.44444444444444442</v>
      </c>
      <c r="AM37" s="16">
        <f t="shared" si="25"/>
        <v>0.75</v>
      </c>
      <c r="AN37" s="16">
        <f t="shared" si="26"/>
        <v>0.16666666666666666</v>
      </c>
      <c r="AO37" s="16">
        <f t="shared" si="27"/>
        <v>0.15476190476190477</v>
      </c>
      <c r="AP37" s="16">
        <f>(AF37*Sheet2!$B$2)+(AG37*Sheet2!$B$3)+(AI37*Sheet2!$B$4)+(AJ37*Sheet2!$B$5)+(AK37*Sheet2!$B$6)+(AM37*Sheet2!$B$7)+(AN37*Sheet2!$B$8)</f>
        <v>51.26257448433919</v>
      </c>
      <c r="AQ37" s="16"/>
      <c r="AR37" s="16"/>
      <c r="AS37" s="16"/>
      <c r="AT37" s="16"/>
    </row>
    <row r="38" spans="1:46" x14ac:dyDescent="0.25">
      <c r="A38" s="4">
        <v>31</v>
      </c>
      <c r="B38" s="1" t="s">
        <v>54</v>
      </c>
      <c r="C38" s="1">
        <v>1</v>
      </c>
      <c r="D38" s="1" t="s">
        <v>120</v>
      </c>
      <c r="E38" s="1">
        <v>3</v>
      </c>
      <c r="F38" s="1" t="s">
        <v>121</v>
      </c>
      <c r="G38" s="1">
        <v>13</v>
      </c>
      <c r="H38" s="1">
        <v>9</v>
      </c>
      <c r="I38" s="1">
        <v>55</v>
      </c>
      <c r="J38" s="1">
        <v>39</v>
      </c>
      <c r="K38" s="1">
        <v>88</v>
      </c>
      <c r="L38" s="1">
        <v>61</v>
      </c>
      <c r="M38" s="1">
        <v>7</v>
      </c>
      <c r="N38" s="1">
        <v>20</v>
      </c>
      <c r="O38" s="1">
        <f t="shared" si="14"/>
        <v>27</v>
      </c>
      <c r="P38" s="1">
        <v>1</v>
      </c>
      <c r="Q38" s="1">
        <v>1</v>
      </c>
      <c r="R38" s="1">
        <v>0</v>
      </c>
      <c r="S38" s="1">
        <v>0</v>
      </c>
      <c r="T38" s="1">
        <v>0</v>
      </c>
      <c r="U38" s="1">
        <v>9</v>
      </c>
      <c r="V38" s="1">
        <v>7</v>
      </c>
      <c r="W38" s="1">
        <v>5</v>
      </c>
      <c r="AC38" s="1">
        <f t="shared" si="15"/>
        <v>0.58510638297872342</v>
      </c>
      <c r="AD38" s="1">
        <f t="shared" si="16"/>
        <v>0.58510638297872342</v>
      </c>
      <c r="AE38" s="1">
        <f t="shared" si="17"/>
        <v>0.7012063829787234</v>
      </c>
      <c r="AF38" s="2">
        <f t="shared" si="18"/>
        <v>0.68670638297872344</v>
      </c>
      <c r="AG38" s="2">
        <f t="shared" si="19"/>
        <v>0.59060402684563762</v>
      </c>
      <c r="AH38" s="1">
        <f t="shared" si="20"/>
        <v>0.25925925925925924</v>
      </c>
      <c r="AI38" s="2">
        <f t="shared" si="21"/>
        <v>0.35165925925925923</v>
      </c>
      <c r="AJ38" s="2">
        <f t="shared" si="22"/>
        <v>0.18120805369127516</v>
      </c>
      <c r="AK38" s="2">
        <f t="shared" si="23"/>
        <v>7.6923076923076927E-2</v>
      </c>
      <c r="AL38" s="1">
        <f t="shared" si="24"/>
        <v>0.77777777777777779</v>
      </c>
      <c r="AM38" s="2">
        <f t="shared" si="25"/>
        <v>0.69230769230769229</v>
      </c>
      <c r="AN38" s="2">
        <f t="shared" si="26"/>
        <v>0.38461538461538464</v>
      </c>
      <c r="AO38" s="1">
        <f t="shared" si="27"/>
        <v>7.9545454545454544E-2</v>
      </c>
      <c r="AP38" s="5">
        <f>(AF38*Sheet2!$B$2)+(AG38*Sheet2!$B$3)+(AI38*Sheet2!$B$4)+(AJ38*Sheet2!$B$5)+(AK38*Sheet2!$B$6)+(AM38*Sheet2!$B$7)+(AN38*Sheet2!$B$8)</f>
        <v>50.790861686058037</v>
      </c>
      <c r="AQ38" s="1"/>
      <c r="AR38" s="1"/>
      <c r="AS38" s="1"/>
      <c r="AT38" s="1"/>
    </row>
    <row r="39" spans="1:46" x14ac:dyDescent="0.25">
      <c r="A39" s="4">
        <v>32</v>
      </c>
      <c r="B39" s="1" t="s">
        <v>41</v>
      </c>
      <c r="C39" s="1">
        <v>2</v>
      </c>
      <c r="D39" s="1" t="s">
        <v>122</v>
      </c>
      <c r="E39" s="1">
        <v>3</v>
      </c>
      <c r="F39" s="1" t="s">
        <v>123</v>
      </c>
      <c r="G39" s="1">
        <v>5</v>
      </c>
      <c r="H39" s="1">
        <v>2</v>
      </c>
      <c r="I39" s="1">
        <v>9</v>
      </c>
      <c r="J39" s="1">
        <v>4</v>
      </c>
      <c r="K39" s="1">
        <v>30</v>
      </c>
      <c r="L39" s="1">
        <v>18</v>
      </c>
      <c r="M39" s="1">
        <v>4</v>
      </c>
      <c r="N39" s="1">
        <v>7</v>
      </c>
      <c r="O39" s="1">
        <f t="shared" si="14"/>
        <v>11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3</v>
      </c>
      <c r="V39" s="1">
        <v>0</v>
      </c>
      <c r="W39" s="1">
        <v>0</v>
      </c>
      <c r="AC39" s="1">
        <f t="shared" si="15"/>
        <v>0.69230769230769229</v>
      </c>
      <c r="AD39" s="1">
        <f t="shared" si="16"/>
        <v>0.69230769230769229</v>
      </c>
      <c r="AE39" s="1">
        <f t="shared" si="17"/>
        <v>0.71810769230769234</v>
      </c>
      <c r="AF39" s="2">
        <f t="shared" si="18"/>
        <v>0.71810769230769234</v>
      </c>
      <c r="AG39" s="2">
        <f t="shared" si="19"/>
        <v>0.625</v>
      </c>
      <c r="AH39" s="1">
        <f t="shared" si="20"/>
        <v>0.36363636363636365</v>
      </c>
      <c r="AI39" s="2">
        <f t="shared" si="21"/>
        <v>0.41643636363636366</v>
      </c>
      <c r="AJ39" s="2">
        <f t="shared" si="22"/>
        <v>0.22916666666666666</v>
      </c>
      <c r="AK39" s="2">
        <f t="shared" si="23"/>
        <v>0</v>
      </c>
      <c r="AL39" s="1">
        <f t="shared" si="24"/>
        <v>0</v>
      </c>
      <c r="AM39" s="2">
        <f t="shared" si="25"/>
        <v>0.6</v>
      </c>
      <c r="AN39" s="2">
        <f t="shared" si="26"/>
        <v>0</v>
      </c>
      <c r="AO39" s="1">
        <f t="shared" si="27"/>
        <v>0.13333333333333333</v>
      </c>
      <c r="AP39" s="5">
        <f>(AF39*Sheet2!$B$2)+(AG39*Sheet2!$B$3)+(AI39*Sheet2!$B$4)+(AJ39*Sheet2!$B$5)+(AK39*Sheet2!$B$6)+(AM39*Sheet2!$B$7)+(AN39*Sheet2!$B$8)</f>
        <v>50.089799533799535</v>
      </c>
      <c r="AQ39" s="1"/>
      <c r="AR39" s="1"/>
      <c r="AS39" s="1"/>
      <c r="AT39" s="1"/>
    </row>
    <row r="40" spans="1:46" x14ac:dyDescent="0.25">
      <c r="A40" s="4">
        <v>33</v>
      </c>
      <c r="B40" s="1" t="s">
        <v>41</v>
      </c>
      <c r="C40" s="1">
        <v>2</v>
      </c>
      <c r="D40" s="1" t="s">
        <v>124</v>
      </c>
      <c r="E40" s="1">
        <v>3</v>
      </c>
      <c r="F40" s="1" t="s">
        <v>125</v>
      </c>
      <c r="G40" s="1">
        <v>11</v>
      </c>
      <c r="H40" s="1">
        <v>11</v>
      </c>
      <c r="I40" s="1">
        <v>72</v>
      </c>
      <c r="J40" s="1">
        <v>56</v>
      </c>
      <c r="K40" s="1">
        <v>72</v>
      </c>
      <c r="L40" s="1">
        <v>56</v>
      </c>
      <c r="M40" s="1">
        <v>6</v>
      </c>
      <c r="N40" s="1">
        <v>17</v>
      </c>
      <c r="O40" s="1">
        <f t="shared" si="14"/>
        <v>23</v>
      </c>
      <c r="P40" s="1">
        <v>2</v>
      </c>
      <c r="Q40" s="1">
        <v>1</v>
      </c>
      <c r="R40" s="1">
        <v>0</v>
      </c>
      <c r="S40" s="1">
        <v>0</v>
      </c>
      <c r="T40" s="1">
        <v>0</v>
      </c>
      <c r="U40" s="1">
        <v>7</v>
      </c>
      <c r="V40" s="1">
        <v>2</v>
      </c>
      <c r="W40" s="1">
        <v>1</v>
      </c>
      <c r="AC40" s="1">
        <f t="shared" si="15"/>
        <v>0.5625</v>
      </c>
      <c r="AD40" s="1">
        <f t="shared" si="16"/>
        <v>0.5625</v>
      </c>
      <c r="AE40" s="1">
        <f t="shared" si="17"/>
        <v>0.70440000000000003</v>
      </c>
      <c r="AF40" s="2">
        <f t="shared" si="18"/>
        <v>0.70440000000000003</v>
      </c>
      <c r="AG40" s="2">
        <f t="shared" si="19"/>
        <v>0.5625</v>
      </c>
      <c r="AH40" s="1">
        <f t="shared" si="20"/>
        <v>0.2608695652173913</v>
      </c>
      <c r="AI40" s="2">
        <f t="shared" si="21"/>
        <v>0.34006956521739129</v>
      </c>
      <c r="AJ40" s="2">
        <f t="shared" si="22"/>
        <v>0.1796875</v>
      </c>
      <c r="AK40" s="2">
        <f t="shared" si="23"/>
        <v>0.18181818181818182</v>
      </c>
      <c r="AL40" s="1">
        <f t="shared" si="24"/>
        <v>0.2857142857142857</v>
      </c>
      <c r="AM40" s="2">
        <f t="shared" si="25"/>
        <v>0.63636363636363635</v>
      </c>
      <c r="AN40" s="2">
        <f t="shared" si="26"/>
        <v>9.0909090909090912E-2</v>
      </c>
      <c r="AO40" s="1">
        <f t="shared" si="27"/>
        <v>8.3333333333333329E-2</v>
      </c>
      <c r="AP40" s="5">
        <f>(AF40*Sheet2!$B$2)+(AG40*Sheet2!$B$3)+(AI40*Sheet2!$B$4)+(AJ40*Sheet2!$B$5)+(AK40*Sheet2!$B$6)+(AM40*Sheet2!$B$7)+(AN40*Sheet2!$B$8)</f>
        <v>49.737934288537545</v>
      </c>
      <c r="AQ40" s="1"/>
      <c r="AR40" s="1"/>
      <c r="AS40" s="1"/>
      <c r="AT40" s="1"/>
    </row>
    <row r="41" spans="1:46" s="17" customFormat="1" x14ac:dyDescent="0.25">
      <c r="A41" s="15">
        <v>34</v>
      </c>
      <c r="B41" s="16" t="s">
        <v>41</v>
      </c>
      <c r="C41" s="16">
        <v>2</v>
      </c>
      <c r="D41" s="16" t="s">
        <v>126</v>
      </c>
      <c r="E41" s="16">
        <v>2</v>
      </c>
      <c r="F41" s="16" t="s">
        <v>127</v>
      </c>
      <c r="G41" s="16">
        <v>10</v>
      </c>
      <c r="H41" s="16">
        <v>6</v>
      </c>
      <c r="I41" s="16">
        <v>33</v>
      </c>
      <c r="J41" s="16">
        <v>27</v>
      </c>
      <c r="K41" s="16">
        <v>71</v>
      </c>
      <c r="L41" s="16">
        <v>42</v>
      </c>
      <c r="M41" s="16">
        <v>8</v>
      </c>
      <c r="N41" s="16">
        <v>16</v>
      </c>
      <c r="O41" s="16">
        <f t="shared" si="14"/>
        <v>24</v>
      </c>
      <c r="P41" s="16">
        <v>4</v>
      </c>
      <c r="Q41" s="16">
        <v>2</v>
      </c>
      <c r="R41" s="16">
        <v>0</v>
      </c>
      <c r="S41" s="16">
        <v>0</v>
      </c>
      <c r="T41" s="16">
        <v>0</v>
      </c>
      <c r="U41" s="16">
        <v>5</v>
      </c>
      <c r="V41" s="16">
        <v>1</v>
      </c>
      <c r="W41" s="16">
        <v>4</v>
      </c>
      <c r="X41" s="16"/>
      <c r="Y41" s="16"/>
      <c r="Z41" s="16"/>
      <c r="AA41" s="16"/>
      <c r="AB41" s="16"/>
      <c r="AC41" s="16">
        <f t="shared" si="15"/>
        <v>0.55000000000000004</v>
      </c>
      <c r="AD41" s="16">
        <f t="shared" si="16"/>
        <v>0.47820000000000007</v>
      </c>
      <c r="AE41" s="16">
        <f t="shared" si="17"/>
        <v>0.55560000000000009</v>
      </c>
      <c r="AF41" s="16">
        <f t="shared" si="18"/>
        <v>0.55560000000000009</v>
      </c>
      <c r="AG41" s="16">
        <f t="shared" si="19"/>
        <v>0.62831858407079644</v>
      </c>
      <c r="AH41" s="16">
        <f t="shared" si="20"/>
        <v>0.33333333333333331</v>
      </c>
      <c r="AI41" s="16">
        <f t="shared" si="21"/>
        <v>0.43893333333333329</v>
      </c>
      <c r="AJ41" s="16">
        <f t="shared" si="22"/>
        <v>0.21238938053097345</v>
      </c>
      <c r="AK41" s="16">
        <f t="shared" si="23"/>
        <v>0.4</v>
      </c>
      <c r="AL41" s="16">
        <f t="shared" si="24"/>
        <v>0.2</v>
      </c>
      <c r="AM41" s="16">
        <f t="shared" si="25"/>
        <v>0.5</v>
      </c>
      <c r="AN41" s="16">
        <f t="shared" si="26"/>
        <v>0.4</v>
      </c>
      <c r="AO41" s="16">
        <f t="shared" si="27"/>
        <v>0.11267605633802817</v>
      </c>
      <c r="AP41" s="16">
        <f>(AF41*Sheet2!$B$2)+(AG41*Sheet2!$B$3)+(AI41*Sheet2!$B$4)+(AJ41*Sheet2!$B$5)+(AK41*Sheet2!$B$6)+(AM41*Sheet2!$B$7)+(AN41*Sheet2!$B$8)</f>
        <v>49.525598820059002</v>
      </c>
      <c r="AQ41" s="16"/>
      <c r="AR41" s="16"/>
      <c r="AS41" s="16"/>
      <c r="AT41" s="16"/>
    </row>
    <row r="42" spans="1:46" x14ac:dyDescent="0.25">
      <c r="A42" s="4">
        <v>35</v>
      </c>
      <c r="B42" s="1" t="s">
        <v>51</v>
      </c>
      <c r="C42" s="1">
        <v>2</v>
      </c>
      <c r="D42" s="1" t="s">
        <v>128</v>
      </c>
      <c r="E42" s="1">
        <v>3</v>
      </c>
      <c r="F42" s="1" t="s">
        <v>129</v>
      </c>
      <c r="G42" s="1">
        <v>16</v>
      </c>
      <c r="H42" s="1">
        <v>4</v>
      </c>
      <c r="I42" s="1">
        <v>27</v>
      </c>
      <c r="J42" s="1">
        <v>13</v>
      </c>
      <c r="K42" s="1">
        <v>98</v>
      </c>
      <c r="L42" s="1">
        <v>76</v>
      </c>
      <c r="M42" s="1">
        <v>11</v>
      </c>
      <c r="N42" s="1">
        <v>32</v>
      </c>
      <c r="O42" s="1">
        <f t="shared" si="14"/>
        <v>43</v>
      </c>
      <c r="P42" s="1">
        <v>2</v>
      </c>
      <c r="Q42" s="1">
        <v>1</v>
      </c>
      <c r="R42" s="1">
        <v>1</v>
      </c>
      <c r="S42" s="1">
        <v>1</v>
      </c>
      <c r="T42" s="1">
        <v>0</v>
      </c>
      <c r="U42" s="1">
        <v>7</v>
      </c>
      <c r="V42" s="1">
        <v>3</v>
      </c>
      <c r="W42" s="1">
        <v>2</v>
      </c>
      <c r="X42" s="1">
        <v>0</v>
      </c>
      <c r="Y42" s="1">
        <v>6</v>
      </c>
      <c r="AC42" s="1">
        <f t="shared" si="15"/>
        <v>0.67500000000000004</v>
      </c>
      <c r="AD42" s="1">
        <f t="shared" si="16"/>
        <v>0.67500000000000004</v>
      </c>
      <c r="AE42" s="1">
        <f t="shared" si="17"/>
        <v>0.72660000000000002</v>
      </c>
      <c r="AF42" s="2">
        <f t="shared" si="18"/>
        <v>0.72660000000000002</v>
      </c>
      <c r="AG42" s="2">
        <f t="shared" si="19"/>
        <v>0.56321839080459768</v>
      </c>
      <c r="AH42" s="1">
        <f t="shared" si="20"/>
        <v>0.2558139534883721</v>
      </c>
      <c r="AI42" s="2">
        <f t="shared" si="21"/>
        <v>0.4010139534883721</v>
      </c>
      <c r="AJ42" s="2">
        <f t="shared" si="22"/>
        <v>0.2471264367816092</v>
      </c>
      <c r="AK42" s="2">
        <f t="shared" si="23"/>
        <v>0.125</v>
      </c>
      <c r="AL42" s="1">
        <f t="shared" si="24"/>
        <v>0.42857142857142855</v>
      </c>
      <c r="AM42" s="2">
        <f t="shared" si="25"/>
        <v>0.4375</v>
      </c>
      <c r="AN42" s="2">
        <f t="shared" si="26"/>
        <v>0.125</v>
      </c>
      <c r="AO42" s="1">
        <f t="shared" si="27"/>
        <v>0.11224489795918367</v>
      </c>
      <c r="AP42" s="5">
        <f>(AF42*Sheet2!$B$2)+(AG42*Sheet2!$B$3)+(AI42*Sheet2!$B$4)+(AJ42*Sheet2!$B$5)+(AK42*Sheet2!$B$6)+(AM42*Sheet2!$B$7)+(AN42*Sheet2!$B$8)</f>
        <v>49.426771718791763</v>
      </c>
      <c r="AQ42" s="1"/>
      <c r="AR42" s="1"/>
      <c r="AS42" s="1"/>
      <c r="AT42" s="1"/>
    </row>
    <row r="43" spans="1:46" x14ac:dyDescent="0.25">
      <c r="A43" s="4">
        <v>36</v>
      </c>
      <c r="B43" s="1" t="s">
        <v>51</v>
      </c>
      <c r="C43" s="1">
        <v>2</v>
      </c>
      <c r="D43" s="1" t="s">
        <v>130</v>
      </c>
      <c r="E43" s="1">
        <v>3</v>
      </c>
      <c r="F43" s="1" t="s">
        <v>131</v>
      </c>
      <c r="G43" s="1">
        <v>4</v>
      </c>
      <c r="H43" s="1">
        <v>4</v>
      </c>
      <c r="I43" s="1">
        <v>23</v>
      </c>
      <c r="J43" s="1">
        <v>16</v>
      </c>
      <c r="K43" s="1">
        <v>23</v>
      </c>
      <c r="L43" s="1">
        <v>16</v>
      </c>
      <c r="M43" s="1">
        <v>4</v>
      </c>
      <c r="N43" s="1">
        <v>7</v>
      </c>
      <c r="O43" s="1">
        <f t="shared" si="14"/>
        <v>11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3</v>
      </c>
      <c r="V43" s="1">
        <v>2</v>
      </c>
      <c r="W43" s="1">
        <v>0</v>
      </c>
      <c r="X43" s="1">
        <v>0</v>
      </c>
      <c r="Y43" s="1">
        <v>1</v>
      </c>
      <c r="AC43" s="1">
        <f t="shared" si="15"/>
        <v>0.58974358974358976</v>
      </c>
      <c r="AD43" s="1">
        <f t="shared" si="16"/>
        <v>0.58974358974358976</v>
      </c>
      <c r="AE43" s="1">
        <f t="shared" si="17"/>
        <v>0.64134358974358974</v>
      </c>
      <c r="AF43" s="2">
        <f t="shared" si="18"/>
        <v>0.64134358974358974</v>
      </c>
      <c r="AG43" s="2">
        <f t="shared" si="19"/>
        <v>0.58974358974358976</v>
      </c>
      <c r="AH43" s="1">
        <f t="shared" si="20"/>
        <v>0.36363636363636365</v>
      </c>
      <c r="AI43" s="2">
        <f t="shared" si="21"/>
        <v>0.41643636363636366</v>
      </c>
      <c r="AJ43" s="2">
        <f t="shared" si="22"/>
        <v>0.28205128205128205</v>
      </c>
      <c r="AK43" s="2">
        <f t="shared" si="23"/>
        <v>0</v>
      </c>
      <c r="AL43" s="1">
        <f t="shared" si="24"/>
        <v>0.66666666666666663</v>
      </c>
      <c r="AM43" s="2">
        <f t="shared" si="25"/>
        <v>0.75</v>
      </c>
      <c r="AN43" s="2">
        <f t="shared" si="26"/>
        <v>0</v>
      </c>
      <c r="AO43" s="1">
        <f t="shared" si="27"/>
        <v>0.17391304347826086</v>
      </c>
      <c r="AP43" s="5">
        <f>(AF43*Sheet2!$B$2)+(AG43*Sheet2!$B$3)+(AI43*Sheet2!$B$4)+(AJ43*Sheet2!$B$5)+(AK43*Sheet2!$B$6)+(AM43*Sheet2!$B$7)+(AN43*Sheet2!$B$8)</f>
        <v>48.726773892773892</v>
      </c>
      <c r="AQ43" s="1"/>
      <c r="AR43" s="1"/>
      <c r="AS43" s="1"/>
      <c r="AT43" s="1"/>
    </row>
    <row r="44" spans="1:46" x14ac:dyDescent="0.25">
      <c r="A44" s="4">
        <v>37</v>
      </c>
      <c r="B44" s="1" t="s">
        <v>41</v>
      </c>
      <c r="C44" s="1">
        <v>2</v>
      </c>
      <c r="D44" s="1" t="s">
        <v>132</v>
      </c>
      <c r="E44" s="1">
        <v>3</v>
      </c>
      <c r="F44" s="1" t="s">
        <v>133</v>
      </c>
      <c r="G44" s="1">
        <v>3</v>
      </c>
      <c r="H44" s="1">
        <v>3</v>
      </c>
      <c r="I44" s="1">
        <v>18</v>
      </c>
      <c r="J44" s="1">
        <v>16</v>
      </c>
      <c r="K44" s="1">
        <v>18</v>
      </c>
      <c r="L44" s="1">
        <v>16</v>
      </c>
      <c r="M44" s="1">
        <v>6</v>
      </c>
      <c r="N44" s="1">
        <v>1</v>
      </c>
      <c r="O44" s="1">
        <f t="shared" si="14"/>
        <v>7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2</v>
      </c>
      <c r="V44" s="1">
        <v>1</v>
      </c>
      <c r="W44" s="1">
        <v>0</v>
      </c>
      <c r="AC44" s="1">
        <f t="shared" si="15"/>
        <v>0.52941176470588236</v>
      </c>
      <c r="AD44" s="1">
        <f t="shared" si="16"/>
        <v>0.52941176470588236</v>
      </c>
      <c r="AE44" s="1">
        <f t="shared" si="17"/>
        <v>0.56811176470588232</v>
      </c>
      <c r="AF44" s="2">
        <f t="shared" si="18"/>
        <v>0.56811176470588232</v>
      </c>
      <c r="AG44" s="2">
        <f t="shared" si="19"/>
        <v>0.52941176470588236</v>
      </c>
      <c r="AH44" s="1">
        <f t="shared" si="20"/>
        <v>0.8571428571428571</v>
      </c>
      <c r="AI44" s="2">
        <f t="shared" si="21"/>
        <v>0.93634285714285714</v>
      </c>
      <c r="AJ44" s="2">
        <f t="shared" si="22"/>
        <v>0.20588235294117646</v>
      </c>
      <c r="AK44" s="2">
        <f t="shared" si="23"/>
        <v>0</v>
      </c>
      <c r="AL44" s="1">
        <f t="shared" si="24"/>
        <v>0.5</v>
      </c>
      <c r="AM44" s="2">
        <f t="shared" si="25"/>
        <v>0.66666666666666663</v>
      </c>
      <c r="AN44" s="2">
        <f t="shared" si="26"/>
        <v>0</v>
      </c>
      <c r="AO44" s="1">
        <f t="shared" si="27"/>
        <v>0.33333333333333331</v>
      </c>
      <c r="AP44" s="5">
        <f>(AF44*Sheet2!$B$2)+(AG44*Sheet2!$B$3)+(AI44*Sheet2!$B$4)+(AJ44*Sheet2!$B$5)+(AK44*Sheet2!$B$6)+(AM44*Sheet2!$B$7)+(AN44*Sheet2!$B$8)</f>
        <v>48.561065826330527</v>
      </c>
      <c r="AQ44" s="1"/>
      <c r="AR44" s="1"/>
      <c r="AS44" s="1"/>
      <c r="AT44" s="1"/>
    </row>
    <row r="45" spans="1:46" s="17" customFormat="1" x14ac:dyDescent="0.25">
      <c r="A45" s="15">
        <v>38</v>
      </c>
      <c r="B45" s="16" t="s">
        <v>54</v>
      </c>
      <c r="C45" s="16">
        <v>1</v>
      </c>
      <c r="D45" s="16" t="s">
        <v>134</v>
      </c>
      <c r="E45" s="16">
        <v>2</v>
      </c>
      <c r="F45" s="16" t="s">
        <v>135</v>
      </c>
      <c r="G45" s="16">
        <v>17</v>
      </c>
      <c r="H45" s="16">
        <v>5</v>
      </c>
      <c r="I45" s="16">
        <v>28</v>
      </c>
      <c r="J45" s="16">
        <v>22</v>
      </c>
      <c r="K45" s="16">
        <v>125</v>
      </c>
      <c r="L45" s="16">
        <v>80</v>
      </c>
      <c r="M45" s="16">
        <v>22</v>
      </c>
      <c r="N45" s="16">
        <v>42</v>
      </c>
      <c r="O45" s="16">
        <f t="shared" si="14"/>
        <v>64</v>
      </c>
      <c r="P45" s="16">
        <v>2</v>
      </c>
      <c r="Q45" s="16">
        <v>3</v>
      </c>
      <c r="R45" s="16">
        <v>0</v>
      </c>
      <c r="S45" s="16">
        <v>0</v>
      </c>
      <c r="T45" s="16">
        <v>0</v>
      </c>
      <c r="U45" s="16">
        <v>11</v>
      </c>
      <c r="V45" s="16">
        <v>5</v>
      </c>
      <c r="W45" s="16">
        <v>1</v>
      </c>
      <c r="X45" s="16"/>
      <c r="Y45" s="16"/>
      <c r="Z45" s="16"/>
      <c r="AA45" s="16"/>
      <c r="AB45" s="16"/>
      <c r="AC45" s="16">
        <f t="shared" si="15"/>
        <v>0.56000000000000005</v>
      </c>
      <c r="AD45" s="16">
        <f t="shared" si="16"/>
        <v>0.48820000000000008</v>
      </c>
      <c r="AE45" s="16">
        <f t="shared" si="17"/>
        <v>0.55270000000000008</v>
      </c>
      <c r="AF45" s="16">
        <f t="shared" si="18"/>
        <v>0.53820000000000012</v>
      </c>
      <c r="AG45" s="16">
        <f t="shared" si="19"/>
        <v>0.6097560975609756</v>
      </c>
      <c r="AH45" s="16">
        <f t="shared" si="20"/>
        <v>0.34375</v>
      </c>
      <c r="AI45" s="16">
        <f t="shared" si="21"/>
        <v>0.63414999999999999</v>
      </c>
      <c r="AJ45" s="16">
        <f t="shared" si="22"/>
        <v>0.31219512195121951</v>
      </c>
      <c r="AK45" s="16">
        <f t="shared" si="23"/>
        <v>0.11764705882352941</v>
      </c>
      <c r="AL45" s="16">
        <f t="shared" si="24"/>
        <v>0.45454545454545453</v>
      </c>
      <c r="AM45" s="16">
        <f t="shared" si="25"/>
        <v>0.6470588235294118</v>
      </c>
      <c r="AN45" s="16">
        <f t="shared" si="26"/>
        <v>5.8823529411764705E-2</v>
      </c>
      <c r="AO45" s="16">
        <f t="shared" si="27"/>
        <v>0.17599999999999999</v>
      </c>
      <c r="AP45" s="16">
        <f>(AF45*Sheet2!$B$2)+(AG45*Sheet2!$B$3)+(AI45*Sheet2!$B$4)+(AJ45*Sheet2!$B$5)+(AK45*Sheet2!$B$6)+(AM45*Sheet2!$B$7)+(AN45*Sheet2!$B$8)</f>
        <v>48.436749641319956</v>
      </c>
      <c r="AQ45" s="16"/>
      <c r="AR45" s="16"/>
      <c r="AS45" s="16"/>
      <c r="AT45" s="16"/>
    </row>
    <row r="46" spans="1:46" s="17" customFormat="1" x14ac:dyDescent="0.25">
      <c r="A46" s="15">
        <v>39</v>
      </c>
      <c r="B46" s="16" t="s">
        <v>59</v>
      </c>
      <c r="C46" s="16">
        <v>1</v>
      </c>
      <c r="D46" s="16" t="s">
        <v>136</v>
      </c>
      <c r="E46" s="16">
        <v>2</v>
      </c>
      <c r="F46" s="16" t="s">
        <v>137</v>
      </c>
      <c r="G46" s="16">
        <v>14</v>
      </c>
      <c r="H46" s="16">
        <v>6</v>
      </c>
      <c r="I46" s="16">
        <v>44</v>
      </c>
      <c r="J46" s="16">
        <v>18</v>
      </c>
      <c r="K46" s="16">
        <v>105</v>
      </c>
      <c r="L46" s="16">
        <v>52</v>
      </c>
      <c r="M46" s="16">
        <v>3</v>
      </c>
      <c r="N46" s="16">
        <v>15</v>
      </c>
      <c r="O46" s="16">
        <f t="shared" si="14"/>
        <v>18</v>
      </c>
      <c r="P46" s="16">
        <v>2</v>
      </c>
      <c r="Q46" s="16">
        <v>2</v>
      </c>
      <c r="R46" s="16">
        <v>0</v>
      </c>
      <c r="S46" s="16">
        <v>0</v>
      </c>
      <c r="T46" s="16">
        <v>0</v>
      </c>
      <c r="U46" s="16">
        <v>8</v>
      </c>
      <c r="V46" s="16">
        <v>4</v>
      </c>
      <c r="W46" s="16">
        <v>0</v>
      </c>
      <c r="X46" s="16"/>
      <c r="Y46" s="16"/>
      <c r="Z46" s="16"/>
      <c r="AA46" s="16"/>
      <c r="AB46" s="16"/>
      <c r="AC46" s="16">
        <f t="shared" si="15"/>
        <v>0.70967741935483875</v>
      </c>
      <c r="AD46" s="16">
        <f t="shared" si="16"/>
        <v>0.63787741935483877</v>
      </c>
      <c r="AE46" s="16">
        <f t="shared" si="17"/>
        <v>0.71527741935483879</v>
      </c>
      <c r="AF46" s="16">
        <f t="shared" si="18"/>
        <v>0.70077741935483884</v>
      </c>
      <c r="AG46" s="16">
        <f t="shared" si="19"/>
        <v>0.66878980891719741</v>
      </c>
      <c r="AH46" s="16">
        <f t="shared" si="20"/>
        <v>0.16666666666666666</v>
      </c>
      <c r="AI46" s="16">
        <f t="shared" si="21"/>
        <v>0.20626666666666665</v>
      </c>
      <c r="AJ46" s="16">
        <f t="shared" si="22"/>
        <v>0.11464968152866242</v>
      </c>
      <c r="AK46" s="16">
        <f t="shared" si="23"/>
        <v>0.14285714285714285</v>
      </c>
      <c r="AL46" s="16">
        <f t="shared" si="24"/>
        <v>0.5</v>
      </c>
      <c r="AM46" s="16">
        <f t="shared" si="25"/>
        <v>0.5714285714285714</v>
      </c>
      <c r="AN46" s="16">
        <f t="shared" si="26"/>
        <v>0</v>
      </c>
      <c r="AO46" s="16">
        <f t="shared" si="27"/>
        <v>2.8571428571428571E-2</v>
      </c>
      <c r="AP46" s="16">
        <f>(AF46*Sheet2!$B$2)+(AG46*Sheet2!$B$3)+(AI46*Sheet2!$B$4)+(AJ46*Sheet2!$B$5)+(AK46*Sheet2!$B$6)+(AM46*Sheet2!$B$7)+(AN46*Sheet2!$B$8)</f>
        <v>48.255026480573747</v>
      </c>
      <c r="AQ46" s="16"/>
      <c r="AR46" s="16"/>
      <c r="AS46" s="16"/>
      <c r="AT46" s="16"/>
    </row>
    <row r="47" spans="1:46" s="17" customFormat="1" x14ac:dyDescent="0.25">
      <c r="A47" s="15">
        <v>40</v>
      </c>
      <c r="B47" s="16" t="s">
        <v>51</v>
      </c>
      <c r="C47" s="16">
        <v>2</v>
      </c>
      <c r="D47" s="16" t="s">
        <v>138</v>
      </c>
      <c r="E47" s="16">
        <v>3</v>
      </c>
      <c r="F47" s="16" t="s">
        <v>139</v>
      </c>
      <c r="G47" s="16">
        <v>3</v>
      </c>
      <c r="H47" s="16">
        <v>3</v>
      </c>
      <c r="I47" s="16">
        <v>14</v>
      </c>
      <c r="J47" s="16">
        <v>12</v>
      </c>
      <c r="K47" s="16">
        <v>14</v>
      </c>
      <c r="L47" s="16">
        <v>12</v>
      </c>
      <c r="M47" s="16">
        <v>4</v>
      </c>
      <c r="N47" s="16">
        <v>6</v>
      </c>
      <c r="O47" s="16">
        <f t="shared" si="14"/>
        <v>10</v>
      </c>
      <c r="P47" s="16">
        <v>1</v>
      </c>
      <c r="Q47" s="16">
        <v>1</v>
      </c>
      <c r="R47" s="16">
        <v>1</v>
      </c>
      <c r="S47" s="16">
        <v>0</v>
      </c>
      <c r="T47" s="16">
        <v>0</v>
      </c>
      <c r="U47" s="16">
        <v>1</v>
      </c>
      <c r="V47" s="16">
        <v>0</v>
      </c>
      <c r="W47" s="16">
        <v>1</v>
      </c>
      <c r="X47" s="16"/>
      <c r="Y47" s="16"/>
      <c r="Z47" s="16"/>
      <c r="AA47" s="16"/>
      <c r="AB47" s="16"/>
      <c r="AC47" s="16">
        <f t="shared" si="15"/>
        <v>0.53846153846153844</v>
      </c>
      <c r="AD47" s="16">
        <f t="shared" si="16"/>
        <v>0.53846153846153844</v>
      </c>
      <c r="AE47" s="16">
        <f t="shared" si="17"/>
        <v>0.57716153846153839</v>
      </c>
      <c r="AF47" s="16">
        <f t="shared" si="18"/>
        <v>0.57716153846153839</v>
      </c>
      <c r="AG47" s="16">
        <f t="shared" si="19"/>
        <v>0.53846153846153844</v>
      </c>
      <c r="AH47" s="16">
        <f t="shared" si="20"/>
        <v>0.4</v>
      </c>
      <c r="AI47" s="16">
        <f t="shared" si="21"/>
        <v>0.45280000000000004</v>
      </c>
      <c r="AJ47" s="16">
        <f t="shared" si="22"/>
        <v>0.38461538461538464</v>
      </c>
      <c r="AK47" s="16">
        <f t="shared" si="23"/>
        <v>0.33333333333333331</v>
      </c>
      <c r="AL47" s="16">
        <f t="shared" si="24"/>
        <v>0</v>
      </c>
      <c r="AM47" s="16">
        <f t="shared" si="25"/>
        <v>0.33333333333333331</v>
      </c>
      <c r="AN47" s="16">
        <f t="shared" si="26"/>
        <v>0.33333333333333331</v>
      </c>
      <c r="AO47" s="16">
        <f t="shared" si="27"/>
        <v>0.2857142857142857</v>
      </c>
      <c r="AP47" s="16">
        <f>(AF47*Sheet2!$B$2)+(AG47*Sheet2!$B$3)+(AI47*Sheet2!$B$4)+(AJ47*Sheet2!$B$5)+(AK47*Sheet2!$B$6)+(AM47*Sheet2!$B$7)+(AN47*Sheet2!$B$8)</f>
        <v>47.677371794871796</v>
      </c>
      <c r="AQ47" s="16"/>
      <c r="AR47" s="16"/>
      <c r="AS47" s="16"/>
      <c r="AT47" s="16"/>
    </row>
    <row r="48" spans="1:46" x14ac:dyDescent="0.25">
      <c r="A48" s="4">
        <v>41</v>
      </c>
      <c r="B48" s="1" t="s">
        <v>59</v>
      </c>
      <c r="C48" s="1">
        <v>1</v>
      </c>
      <c r="D48" s="1" t="s">
        <v>140</v>
      </c>
      <c r="E48" s="1">
        <v>3</v>
      </c>
      <c r="F48" s="1" t="s">
        <v>141</v>
      </c>
      <c r="G48" s="1">
        <v>7</v>
      </c>
      <c r="H48" s="1">
        <v>6</v>
      </c>
      <c r="I48" s="1">
        <v>38</v>
      </c>
      <c r="J48" s="1">
        <v>24</v>
      </c>
      <c r="K48" s="1">
        <v>50</v>
      </c>
      <c r="L48" s="1">
        <v>25</v>
      </c>
      <c r="M48" s="1">
        <v>1</v>
      </c>
      <c r="N48" s="1">
        <v>7</v>
      </c>
      <c r="O48" s="1">
        <f t="shared" si="14"/>
        <v>8</v>
      </c>
      <c r="P48" s="1">
        <v>1</v>
      </c>
      <c r="Q48" s="1">
        <v>1</v>
      </c>
      <c r="R48" s="1">
        <v>0</v>
      </c>
      <c r="S48" s="1">
        <v>0</v>
      </c>
      <c r="T48" s="1">
        <v>0</v>
      </c>
      <c r="U48" s="1">
        <v>4</v>
      </c>
      <c r="V48" s="1">
        <v>2</v>
      </c>
      <c r="W48" s="1">
        <v>1</v>
      </c>
      <c r="AC48" s="1">
        <f t="shared" si="15"/>
        <v>0.61290322580645162</v>
      </c>
      <c r="AD48" s="1">
        <f t="shared" si="16"/>
        <v>0.61290322580645162</v>
      </c>
      <c r="AE48" s="1">
        <f t="shared" si="17"/>
        <v>0.69030322580645165</v>
      </c>
      <c r="AF48" s="2">
        <f t="shared" si="18"/>
        <v>0.67580322580645169</v>
      </c>
      <c r="AG48" s="2">
        <f t="shared" si="19"/>
        <v>0.66666666666666663</v>
      </c>
      <c r="AH48" s="1">
        <f t="shared" si="20"/>
        <v>0.125</v>
      </c>
      <c r="AI48" s="2">
        <f t="shared" si="21"/>
        <v>0.13819999999999999</v>
      </c>
      <c r="AJ48" s="2">
        <f t="shared" si="22"/>
        <v>0.10666666666666667</v>
      </c>
      <c r="AK48" s="2">
        <f t="shared" si="23"/>
        <v>0.14285714285714285</v>
      </c>
      <c r="AL48" s="1">
        <f t="shared" si="24"/>
        <v>0.5</v>
      </c>
      <c r="AM48" s="2">
        <f t="shared" si="25"/>
        <v>0.5714285714285714</v>
      </c>
      <c r="AN48" s="2">
        <f t="shared" si="26"/>
        <v>0.14285714285714285</v>
      </c>
      <c r="AO48" s="1">
        <f t="shared" si="27"/>
        <v>0.02</v>
      </c>
      <c r="AP48" s="5">
        <f>(AF48*Sheet2!$B$2)+(AG48*Sheet2!$B$3)+(AI48*Sheet2!$B$4)+(AJ48*Sheet2!$B$5)+(AK48*Sheet2!$B$6)+(AM48*Sheet2!$B$7)+(AN48*Sheet2!$B$8)</f>
        <v>47.292255760368676</v>
      </c>
      <c r="AQ48" s="1"/>
      <c r="AR48" s="1"/>
      <c r="AS48" s="1"/>
      <c r="AT48" s="1"/>
    </row>
    <row r="49" spans="1:46" x14ac:dyDescent="0.25">
      <c r="A49" s="4">
        <v>42</v>
      </c>
      <c r="B49" s="1" t="s">
        <v>59</v>
      </c>
      <c r="C49" s="1">
        <v>1</v>
      </c>
      <c r="D49" s="1" t="s">
        <v>142</v>
      </c>
      <c r="E49" s="1">
        <v>2</v>
      </c>
      <c r="F49" s="1" t="s">
        <v>143</v>
      </c>
      <c r="G49" s="1">
        <v>5</v>
      </c>
      <c r="H49" s="1">
        <v>5</v>
      </c>
      <c r="I49" s="1">
        <v>29</v>
      </c>
      <c r="J49" s="1">
        <v>22</v>
      </c>
      <c r="K49" s="1">
        <v>29</v>
      </c>
      <c r="L49" s="1">
        <v>22</v>
      </c>
      <c r="M49" s="1">
        <v>6</v>
      </c>
      <c r="N49" s="1">
        <v>12</v>
      </c>
      <c r="O49" s="1">
        <f t="shared" si="14"/>
        <v>18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3</v>
      </c>
      <c r="V49" s="1">
        <v>1</v>
      </c>
      <c r="W49" s="1">
        <v>3</v>
      </c>
      <c r="AC49" s="1">
        <f t="shared" si="15"/>
        <v>0.56862745098039214</v>
      </c>
      <c r="AD49" s="1">
        <f t="shared" si="16"/>
        <v>0.49682745098039216</v>
      </c>
      <c r="AE49" s="1">
        <f t="shared" si="17"/>
        <v>0.56132745098039216</v>
      </c>
      <c r="AF49" s="2">
        <f t="shared" si="18"/>
        <v>0.5468274509803922</v>
      </c>
      <c r="AG49" s="2">
        <f t="shared" si="19"/>
        <v>0.56862745098039214</v>
      </c>
      <c r="AH49" s="1">
        <f t="shared" si="20"/>
        <v>0.33333333333333331</v>
      </c>
      <c r="AI49" s="2">
        <f t="shared" si="21"/>
        <v>0.41253333333333331</v>
      </c>
      <c r="AJ49" s="2">
        <f t="shared" si="22"/>
        <v>0.35294117647058826</v>
      </c>
      <c r="AK49" s="2">
        <f t="shared" si="23"/>
        <v>0</v>
      </c>
      <c r="AL49" s="1">
        <f t="shared" si="24"/>
        <v>0.33333333333333331</v>
      </c>
      <c r="AM49" s="2">
        <f t="shared" si="25"/>
        <v>0.6</v>
      </c>
      <c r="AN49" s="2">
        <f t="shared" si="26"/>
        <v>0.6</v>
      </c>
      <c r="AO49" s="1">
        <f t="shared" si="27"/>
        <v>0.20689655172413793</v>
      </c>
      <c r="AP49" s="5">
        <f>(AF49*Sheet2!$B$2)+(AG49*Sheet2!$B$3)+(AI49*Sheet2!$B$4)+(AJ49*Sheet2!$B$5)+(AK49*Sheet2!$B$6)+(AM49*Sheet2!$B$7)+(AN49*Sheet2!$B$8)</f>
        <v>47.166254901960784</v>
      </c>
      <c r="AQ49" s="1"/>
      <c r="AR49" s="1"/>
      <c r="AS49" s="1"/>
      <c r="AT49" s="1"/>
    </row>
    <row r="50" spans="1:46" x14ac:dyDescent="0.25">
      <c r="A50" s="4">
        <v>43</v>
      </c>
      <c r="B50" s="1" t="s">
        <v>59</v>
      </c>
      <c r="C50" s="1">
        <v>1</v>
      </c>
      <c r="D50" s="1" t="s">
        <v>144</v>
      </c>
      <c r="E50" s="1">
        <v>3</v>
      </c>
      <c r="F50" s="1" t="s">
        <v>145</v>
      </c>
      <c r="G50" s="1">
        <v>13</v>
      </c>
      <c r="H50" s="1">
        <v>13</v>
      </c>
      <c r="I50" s="1">
        <v>77</v>
      </c>
      <c r="J50" s="1">
        <v>73</v>
      </c>
      <c r="K50" s="1">
        <v>77</v>
      </c>
      <c r="L50" s="1">
        <v>73</v>
      </c>
      <c r="M50" s="1">
        <v>11</v>
      </c>
      <c r="N50" s="1">
        <v>35</v>
      </c>
      <c r="O50" s="1">
        <f t="shared" si="14"/>
        <v>46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8</v>
      </c>
      <c r="V50" s="1">
        <v>4</v>
      </c>
      <c r="W50" s="1">
        <v>1</v>
      </c>
      <c r="AC50" s="1">
        <f t="shared" si="15"/>
        <v>0.51333333333333331</v>
      </c>
      <c r="AD50" s="1">
        <f t="shared" si="16"/>
        <v>0.51333333333333331</v>
      </c>
      <c r="AE50" s="1">
        <f t="shared" si="17"/>
        <v>0.68103333333333327</v>
      </c>
      <c r="AF50" s="2">
        <f t="shared" si="18"/>
        <v>0.66653333333333331</v>
      </c>
      <c r="AG50" s="2">
        <f t="shared" si="19"/>
        <v>0.51333333333333331</v>
      </c>
      <c r="AH50" s="1">
        <f t="shared" si="20"/>
        <v>0.2391304347826087</v>
      </c>
      <c r="AI50" s="2">
        <f t="shared" si="21"/>
        <v>0.3843304347826087</v>
      </c>
      <c r="AJ50" s="2">
        <f t="shared" si="22"/>
        <v>0.30666666666666664</v>
      </c>
      <c r="AK50" s="2">
        <f t="shared" si="23"/>
        <v>0</v>
      </c>
      <c r="AL50" s="1">
        <f t="shared" si="24"/>
        <v>0.5</v>
      </c>
      <c r="AM50" s="2">
        <f t="shared" si="25"/>
        <v>0.61538461538461542</v>
      </c>
      <c r="AN50" s="2">
        <f t="shared" si="26"/>
        <v>7.6923076923076927E-2</v>
      </c>
      <c r="AO50" s="1">
        <f t="shared" si="27"/>
        <v>0.14285714285714285</v>
      </c>
      <c r="AP50" s="5">
        <f>(AF50*Sheet2!$B$2)+(AG50*Sheet2!$B$3)+(AI50*Sheet2!$B$4)+(AJ50*Sheet2!$B$5)+(AK50*Sheet2!$B$6)+(AM50*Sheet2!$B$7)+(AN50*Sheet2!$B$8)</f>
        <v>47.043765886287623</v>
      </c>
      <c r="AQ50" s="1"/>
      <c r="AR50" s="1"/>
      <c r="AS50" s="1"/>
      <c r="AT50" s="1"/>
    </row>
    <row r="51" spans="1:46" x14ac:dyDescent="0.25">
      <c r="A51" s="4">
        <v>44</v>
      </c>
      <c r="B51" s="1" t="s">
        <v>59</v>
      </c>
      <c r="C51" s="1">
        <v>1</v>
      </c>
      <c r="D51" s="1" t="s">
        <v>146</v>
      </c>
      <c r="E51" s="1">
        <v>3</v>
      </c>
      <c r="F51" s="1" t="s">
        <v>147</v>
      </c>
      <c r="G51" s="1">
        <v>4</v>
      </c>
      <c r="H51" s="1">
        <v>2</v>
      </c>
      <c r="I51" s="1">
        <v>8</v>
      </c>
      <c r="J51" s="1">
        <v>5</v>
      </c>
      <c r="K51" s="1">
        <v>24</v>
      </c>
      <c r="L51" s="1">
        <v>14</v>
      </c>
      <c r="M51" s="1">
        <v>3</v>
      </c>
      <c r="N51" s="1">
        <v>6</v>
      </c>
      <c r="O51" s="1">
        <f t="shared" si="14"/>
        <v>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2</v>
      </c>
      <c r="V51" s="1">
        <v>1</v>
      </c>
      <c r="W51" s="1">
        <v>1</v>
      </c>
      <c r="AC51" s="1">
        <f t="shared" si="15"/>
        <v>0.61538461538461542</v>
      </c>
      <c r="AD51" s="1">
        <f t="shared" si="16"/>
        <v>0.61538461538461542</v>
      </c>
      <c r="AE51" s="1">
        <f t="shared" si="17"/>
        <v>0.64118461538461546</v>
      </c>
      <c r="AF51" s="2">
        <f t="shared" si="18"/>
        <v>0.62668461538461551</v>
      </c>
      <c r="AG51" s="2">
        <f t="shared" si="19"/>
        <v>0.63157894736842102</v>
      </c>
      <c r="AH51" s="1">
        <f t="shared" si="20"/>
        <v>0.33333333333333331</v>
      </c>
      <c r="AI51" s="2">
        <f t="shared" si="21"/>
        <v>0.37293333333333334</v>
      </c>
      <c r="AJ51" s="2">
        <f t="shared" si="22"/>
        <v>0.23684210526315788</v>
      </c>
      <c r="AK51" s="2">
        <f t="shared" si="23"/>
        <v>0</v>
      </c>
      <c r="AL51" s="1">
        <f t="shared" si="24"/>
        <v>0.5</v>
      </c>
      <c r="AM51" s="2">
        <f t="shared" si="25"/>
        <v>0.5</v>
      </c>
      <c r="AN51" s="2">
        <f t="shared" si="26"/>
        <v>0.25</v>
      </c>
      <c r="AO51" s="1">
        <f t="shared" si="27"/>
        <v>0.125</v>
      </c>
      <c r="AP51" s="5">
        <f>(AF51*Sheet2!$B$2)+(AG51*Sheet2!$B$3)+(AI51*Sheet2!$B$4)+(AJ51*Sheet2!$B$5)+(AK51*Sheet2!$B$6)+(AM51*Sheet2!$B$7)+(AN51*Sheet2!$B$8)</f>
        <v>46.913294871794875</v>
      </c>
      <c r="AQ51" s="1"/>
      <c r="AR51" s="1"/>
      <c r="AS51" s="1"/>
      <c r="AT51" s="1"/>
    </row>
    <row r="52" spans="1:46" x14ac:dyDescent="0.25">
      <c r="A52" s="4">
        <v>45</v>
      </c>
      <c r="B52" s="1" t="s">
        <v>44</v>
      </c>
      <c r="C52" s="1">
        <v>3</v>
      </c>
      <c r="D52" s="1" t="s">
        <v>148</v>
      </c>
      <c r="E52" s="1">
        <v>5</v>
      </c>
      <c r="F52" s="1" t="s">
        <v>149</v>
      </c>
      <c r="G52" s="1">
        <v>12</v>
      </c>
      <c r="H52" s="1">
        <v>12</v>
      </c>
      <c r="I52" s="1">
        <v>65</v>
      </c>
      <c r="J52" s="1">
        <v>67</v>
      </c>
      <c r="K52" s="1">
        <v>65</v>
      </c>
      <c r="L52" s="1">
        <v>67</v>
      </c>
      <c r="M52" s="1">
        <v>0</v>
      </c>
      <c r="N52" s="1">
        <v>7</v>
      </c>
      <c r="O52" s="1">
        <f t="shared" si="14"/>
        <v>7</v>
      </c>
      <c r="P52" s="1">
        <v>4</v>
      </c>
      <c r="Q52" s="1">
        <v>2</v>
      </c>
      <c r="R52" s="1">
        <v>0</v>
      </c>
      <c r="S52" s="1">
        <v>0</v>
      </c>
      <c r="T52" s="1">
        <v>0</v>
      </c>
      <c r="U52" s="1">
        <v>6</v>
      </c>
      <c r="V52" s="1">
        <v>2</v>
      </c>
      <c r="W52" s="1">
        <v>0</v>
      </c>
      <c r="AC52" s="1">
        <f t="shared" si="15"/>
        <v>0.49242424242424243</v>
      </c>
      <c r="AD52" s="1">
        <f t="shared" si="16"/>
        <v>0.63602424242424238</v>
      </c>
      <c r="AE52" s="1">
        <f t="shared" si="17"/>
        <v>0.79082424242424243</v>
      </c>
      <c r="AF52" s="2">
        <f t="shared" si="18"/>
        <v>0.80532424242424239</v>
      </c>
      <c r="AG52" s="2">
        <f t="shared" si="19"/>
        <v>0.49242424242424243</v>
      </c>
      <c r="AH52" s="1">
        <f t="shared" si="20"/>
        <v>0</v>
      </c>
      <c r="AI52" s="2">
        <f t="shared" si="21"/>
        <v>0</v>
      </c>
      <c r="AJ52" s="2">
        <f t="shared" si="22"/>
        <v>5.3030303030303032E-2</v>
      </c>
      <c r="AK52" s="2">
        <f t="shared" si="23"/>
        <v>0.33333333333333331</v>
      </c>
      <c r="AL52" s="1">
        <f t="shared" si="24"/>
        <v>0.33333333333333331</v>
      </c>
      <c r="AM52" s="2">
        <f t="shared" si="25"/>
        <v>0.5</v>
      </c>
      <c r="AN52" s="2">
        <f t="shared" si="26"/>
        <v>0</v>
      </c>
      <c r="AO52" s="1">
        <f t="shared" si="27"/>
        <v>0</v>
      </c>
      <c r="AP52" s="5">
        <f>(AF52*Sheet2!$B$2)+(AG52*Sheet2!$B$3)+(AI52*Sheet2!$B$4)+(AJ52*Sheet2!$B$5)+(AK52*Sheet2!$B$6)+(AM52*Sheet2!$B$7)+(AN52*Sheet2!$B$8)</f>
        <v>46.898469696969698</v>
      </c>
      <c r="AQ52" s="1"/>
      <c r="AR52" s="1"/>
      <c r="AS52" s="1"/>
      <c r="AT52" s="1"/>
    </row>
    <row r="53" spans="1:46" x14ac:dyDescent="0.25">
      <c r="A53" s="4">
        <v>46</v>
      </c>
      <c r="B53" s="1" t="s">
        <v>51</v>
      </c>
      <c r="C53" s="1">
        <v>2</v>
      </c>
      <c r="D53" s="1" t="s">
        <v>150</v>
      </c>
      <c r="E53" s="1">
        <v>3</v>
      </c>
      <c r="F53" s="1" t="s">
        <v>151</v>
      </c>
      <c r="G53" s="1">
        <v>6</v>
      </c>
      <c r="H53" s="1">
        <v>6</v>
      </c>
      <c r="I53" s="1">
        <v>31</v>
      </c>
      <c r="J53" s="1">
        <v>30</v>
      </c>
      <c r="K53" s="1">
        <v>31</v>
      </c>
      <c r="L53" s="1">
        <v>30</v>
      </c>
      <c r="M53" s="1">
        <v>5</v>
      </c>
      <c r="N53" s="1">
        <v>14</v>
      </c>
      <c r="O53" s="1">
        <f t="shared" si="14"/>
        <v>19</v>
      </c>
      <c r="P53" s="1">
        <v>1</v>
      </c>
      <c r="Q53" s="1">
        <v>1</v>
      </c>
      <c r="R53" s="1">
        <v>0</v>
      </c>
      <c r="S53" s="1">
        <v>0</v>
      </c>
      <c r="T53" s="1">
        <v>0</v>
      </c>
      <c r="U53" s="1">
        <v>3</v>
      </c>
      <c r="V53" s="1">
        <v>1</v>
      </c>
      <c r="W53" s="1">
        <v>3</v>
      </c>
      <c r="AC53" s="1">
        <f t="shared" si="15"/>
        <v>0.50819672131147542</v>
      </c>
      <c r="AD53" s="1">
        <f t="shared" si="16"/>
        <v>0.50819672131147542</v>
      </c>
      <c r="AE53" s="1">
        <f t="shared" si="17"/>
        <v>0.58559672131147544</v>
      </c>
      <c r="AF53" s="2">
        <f t="shared" si="18"/>
        <v>0.58559672131147544</v>
      </c>
      <c r="AG53" s="2">
        <f t="shared" si="19"/>
        <v>0.50819672131147542</v>
      </c>
      <c r="AH53" s="1">
        <f t="shared" si="20"/>
        <v>0.26315789473684209</v>
      </c>
      <c r="AI53" s="2">
        <f t="shared" si="21"/>
        <v>0.32915789473684209</v>
      </c>
      <c r="AJ53" s="2">
        <f t="shared" si="22"/>
        <v>0.31147540983606559</v>
      </c>
      <c r="AK53" s="2">
        <f t="shared" si="23"/>
        <v>0.16666666666666666</v>
      </c>
      <c r="AL53" s="1">
        <f t="shared" si="24"/>
        <v>0.33333333333333331</v>
      </c>
      <c r="AM53" s="2">
        <f t="shared" si="25"/>
        <v>0.5</v>
      </c>
      <c r="AN53" s="2">
        <f t="shared" si="26"/>
        <v>0.5</v>
      </c>
      <c r="AO53" s="1">
        <f t="shared" si="27"/>
        <v>0.16129032258064516</v>
      </c>
      <c r="AP53" s="5">
        <f>(AF53*Sheet2!$B$2)+(AG53*Sheet2!$B$3)+(AI53*Sheet2!$B$4)+(AJ53*Sheet2!$B$5)+(AK53*Sheet2!$B$6)+(AM53*Sheet2!$B$7)+(AN53*Sheet2!$B$8)</f>
        <v>46.232819384526891</v>
      </c>
      <c r="AQ53" s="1"/>
      <c r="AR53" s="1"/>
      <c r="AS53" s="1"/>
      <c r="AT53" s="1"/>
    </row>
    <row r="54" spans="1:46" x14ac:dyDescent="0.25">
      <c r="A54" s="4">
        <v>47</v>
      </c>
      <c r="B54" s="1" t="s">
        <v>54</v>
      </c>
      <c r="C54" s="1">
        <v>1</v>
      </c>
      <c r="D54" s="1" t="s">
        <v>152</v>
      </c>
      <c r="E54" s="1">
        <v>1</v>
      </c>
      <c r="F54" s="1" t="s">
        <v>153</v>
      </c>
      <c r="G54" s="1">
        <v>3</v>
      </c>
      <c r="H54" s="1">
        <v>3</v>
      </c>
      <c r="I54" s="1">
        <v>9</v>
      </c>
      <c r="J54" s="1">
        <v>5</v>
      </c>
      <c r="K54" s="1">
        <v>9</v>
      </c>
      <c r="L54" s="1">
        <v>5</v>
      </c>
      <c r="M54" s="1">
        <v>4</v>
      </c>
      <c r="N54" s="1">
        <v>4</v>
      </c>
      <c r="O54" s="1">
        <f t="shared" si="14"/>
        <v>8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>
        <v>1</v>
      </c>
      <c r="W54" s="1">
        <v>0</v>
      </c>
      <c r="AC54" s="1">
        <f t="shared" si="15"/>
        <v>0.6428571428571429</v>
      </c>
      <c r="AD54" s="1">
        <f t="shared" si="16"/>
        <v>0.4992571428571429</v>
      </c>
      <c r="AE54" s="1">
        <f t="shared" si="17"/>
        <v>0.53795714285714291</v>
      </c>
      <c r="AF54" s="2">
        <f t="shared" si="18"/>
        <v>0.52345714285714295</v>
      </c>
      <c r="AG54" s="2">
        <f t="shared" si="19"/>
        <v>0.6428571428571429</v>
      </c>
      <c r="AH54" s="1">
        <f t="shared" si="20"/>
        <v>0.5</v>
      </c>
      <c r="AI54" s="2">
        <f t="shared" si="21"/>
        <v>0.55279999999999996</v>
      </c>
      <c r="AJ54" s="2">
        <f t="shared" si="22"/>
        <v>0.5714285714285714</v>
      </c>
      <c r="AK54" s="2">
        <f t="shared" si="23"/>
        <v>0</v>
      </c>
      <c r="AL54" s="1">
        <f t="shared" si="24"/>
        <v>1</v>
      </c>
      <c r="AM54" s="2">
        <f t="shared" si="25"/>
        <v>0.33333333333333331</v>
      </c>
      <c r="AN54" s="2">
        <f t="shared" si="26"/>
        <v>0</v>
      </c>
      <c r="AO54" s="1">
        <f t="shared" si="27"/>
        <v>0.44444444444444442</v>
      </c>
      <c r="AP54" s="5">
        <f>(AF54*Sheet2!$B$2)+(AG54*Sheet2!$B$3)+(AI54*Sheet2!$B$4)+(AJ54*Sheet2!$B$5)+(AK54*Sheet2!$B$6)+(AM54*Sheet2!$B$7)+(AN54*Sheet2!$B$8)</f>
        <v>45.753761904761916</v>
      </c>
      <c r="AQ54" s="1"/>
      <c r="AR54" s="1"/>
      <c r="AS54" s="1"/>
      <c r="AT54" s="1"/>
    </row>
    <row r="55" spans="1:46" x14ac:dyDescent="0.25">
      <c r="A55" s="4">
        <v>48</v>
      </c>
      <c r="B55" s="1" t="s">
        <v>41</v>
      </c>
      <c r="C55" s="1">
        <v>2</v>
      </c>
      <c r="D55" s="1" t="s">
        <v>154</v>
      </c>
      <c r="E55" s="1">
        <v>3</v>
      </c>
      <c r="F55" s="1" t="s">
        <v>155</v>
      </c>
      <c r="G55" s="1">
        <v>4</v>
      </c>
      <c r="H55" s="1">
        <v>2</v>
      </c>
      <c r="I55" s="1">
        <v>7</v>
      </c>
      <c r="J55" s="1">
        <v>6</v>
      </c>
      <c r="K55" s="1">
        <v>22</v>
      </c>
      <c r="L55" s="1">
        <v>15</v>
      </c>
      <c r="M55" s="1">
        <v>4</v>
      </c>
      <c r="N55" s="1">
        <v>4</v>
      </c>
      <c r="O55" s="1">
        <f t="shared" si="14"/>
        <v>8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0</v>
      </c>
      <c r="W55" s="1">
        <v>3</v>
      </c>
      <c r="AC55" s="1">
        <f t="shared" si="15"/>
        <v>0.53846153846153844</v>
      </c>
      <c r="AD55" s="1">
        <f t="shared" si="16"/>
        <v>0.53846153846153844</v>
      </c>
      <c r="AE55" s="1">
        <f t="shared" si="17"/>
        <v>0.56426153846153848</v>
      </c>
      <c r="AF55" s="2">
        <f t="shared" si="18"/>
        <v>0.56426153846153848</v>
      </c>
      <c r="AG55" s="2">
        <f t="shared" si="19"/>
        <v>0.59459459459459463</v>
      </c>
      <c r="AH55" s="1">
        <f t="shared" si="20"/>
        <v>0.5</v>
      </c>
      <c r="AI55" s="2">
        <f t="shared" si="21"/>
        <v>0.55279999999999996</v>
      </c>
      <c r="AJ55" s="2">
        <f t="shared" si="22"/>
        <v>0.21621621621621623</v>
      </c>
      <c r="AK55" s="2">
        <f t="shared" si="23"/>
        <v>0</v>
      </c>
      <c r="AL55" s="1">
        <f t="shared" si="24"/>
        <v>0</v>
      </c>
      <c r="AM55" s="2">
        <f t="shared" si="25"/>
        <v>0.25</v>
      </c>
      <c r="AN55" s="2">
        <f t="shared" si="26"/>
        <v>0.75</v>
      </c>
      <c r="AO55" s="1">
        <f t="shared" si="27"/>
        <v>0.18181818181818182</v>
      </c>
      <c r="AP55" s="5">
        <f>(AF55*Sheet2!$B$2)+(AG55*Sheet2!$B$3)+(AI55*Sheet2!$B$4)+(AJ55*Sheet2!$B$5)+(AK55*Sheet2!$B$6)+(AM55*Sheet2!$B$7)+(AN55*Sheet2!$B$8)</f>
        <v>45.5812079002079</v>
      </c>
      <c r="AQ55" s="1"/>
      <c r="AR55" s="1"/>
      <c r="AS55" s="1"/>
      <c r="AT55" s="1"/>
    </row>
    <row r="56" spans="1:46" x14ac:dyDescent="0.25">
      <c r="A56" s="4">
        <v>49</v>
      </c>
      <c r="B56" s="1" t="s">
        <v>54</v>
      </c>
      <c r="C56" s="1">
        <v>1</v>
      </c>
      <c r="D56" s="1" t="s">
        <v>156</v>
      </c>
      <c r="E56" s="1">
        <v>2</v>
      </c>
      <c r="F56" s="1" t="s">
        <v>157</v>
      </c>
      <c r="G56" s="1">
        <v>11</v>
      </c>
      <c r="H56" s="1">
        <v>4</v>
      </c>
      <c r="I56" s="1">
        <v>13</v>
      </c>
      <c r="J56" s="1">
        <v>13</v>
      </c>
      <c r="K56" s="1">
        <v>76</v>
      </c>
      <c r="L56" s="1">
        <v>38</v>
      </c>
      <c r="M56" s="1">
        <v>8</v>
      </c>
      <c r="N56" s="1">
        <v>18</v>
      </c>
      <c r="O56" s="1">
        <f t="shared" si="14"/>
        <v>26</v>
      </c>
      <c r="P56" s="1">
        <v>2</v>
      </c>
      <c r="Q56" s="1">
        <v>2</v>
      </c>
      <c r="R56" s="1">
        <v>1</v>
      </c>
      <c r="S56" s="1">
        <v>0</v>
      </c>
      <c r="T56" s="1">
        <v>0</v>
      </c>
      <c r="U56" s="1">
        <v>7</v>
      </c>
      <c r="V56" s="1">
        <v>3</v>
      </c>
      <c r="W56" s="1">
        <v>3</v>
      </c>
      <c r="AC56" s="1">
        <f t="shared" si="15"/>
        <v>0.5</v>
      </c>
      <c r="AD56" s="1">
        <f t="shared" si="16"/>
        <v>0.42820000000000003</v>
      </c>
      <c r="AE56" s="1">
        <f t="shared" si="17"/>
        <v>0.4798</v>
      </c>
      <c r="AF56" s="2">
        <f t="shared" si="18"/>
        <v>0.46529999999999999</v>
      </c>
      <c r="AG56" s="2">
        <f t="shared" si="19"/>
        <v>0.66666666666666663</v>
      </c>
      <c r="AH56" s="1">
        <f t="shared" si="20"/>
        <v>0.30769230769230771</v>
      </c>
      <c r="AI56" s="2">
        <f t="shared" si="21"/>
        <v>0.41329230769230774</v>
      </c>
      <c r="AJ56" s="2">
        <f t="shared" si="22"/>
        <v>0.22807017543859648</v>
      </c>
      <c r="AK56" s="2">
        <f t="shared" si="23"/>
        <v>0.18181818181818182</v>
      </c>
      <c r="AL56" s="1">
        <f t="shared" si="24"/>
        <v>0.42857142857142855</v>
      </c>
      <c r="AM56" s="2">
        <f t="shared" si="25"/>
        <v>0.63636363636363635</v>
      </c>
      <c r="AN56" s="2">
        <f t="shared" si="26"/>
        <v>0.27272727272727271</v>
      </c>
      <c r="AO56" s="1">
        <f t="shared" si="27"/>
        <v>0.10526315789473684</v>
      </c>
      <c r="AP56" s="5">
        <f>(AF56*Sheet2!$B$2)+(AG56*Sheet2!$B$3)+(AI56*Sheet2!$B$4)+(AJ56*Sheet2!$B$5)+(AK56*Sheet2!$B$6)+(AM56*Sheet2!$B$7)+(AN56*Sheet2!$B$8)</f>
        <v>45.577912710096918</v>
      </c>
      <c r="AQ56" s="1"/>
      <c r="AR56" s="1"/>
      <c r="AS56" s="1"/>
      <c r="AT56" s="1"/>
    </row>
    <row r="57" spans="1:46" x14ac:dyDescent="0.25">
      <c r="A57" s="4">
        <v>50</v>
      </c>
      <c r="B57" s="1" t="s">
        <v>51</v>
      </c>
      <c r="C57" s="1">
        <v>2</v>
      </c>
      <c r="D57" s="1" t="s">
        <v>158</v>
      </c>
      <c r="E57" s="1">
        <v>4</v>
      </c>
      <c r="F57" s="1" t="s">
        <v>159</v>
      </c>
      <c r="G57" s="1">
        <v>3</v>
      </c>
      <c r="H57" s="1">
        <v>3</v>
      </c>
      <c r="I57" s="1">
        <v>13</v>
      </c>
      <c r="J57" s="1">
        <v>12</v>
      </c>
      <c r="K57" s="1">
        <v>13</v>
      </c>
      <c r="L57" s="1">
        <v>12</v>
      </c>
      <c r="M57" s="1">
        <v>1</v>
      </c>
      <c r="N57" s="1">
        <v>7</v>
      </c>
      <c r="O57" s="1">
        <f t="shared" si="14"/>
        <v>8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>
        <v>0</v>
      </c>
      <c r="W57" s="1">
        <v>2</v>
      </c>
      <c r="AC57" s="1">
        <f t="shared" si="15"/>
        <v>0.52</v>
      </c>
      <c r="AD57" s="1">
        <f t="shared" si="16"/>
        <v>0.59179999999999999</v>
      </c>
      <c r="AE57" s="1">
        <f t="shared" si="17"/>
        <v>0.63049999999999995</v>
      </c>
      <c r="AF57" s="2">
        <f t="shared" si="18"/>
        <v>0.63049999999999995</v>
      </c>
      <c r="AG57" s="2">
        <f t="shared" si="19"/>
        <v>0.52</v>
      </c>
      <c r="AH57" s="1">
        <f t="shared" si="20"/>
        <v>0.125</v>
      </c>
      <c r="AI57" s="2">
        <f t="shared" si="21"/>
        <v>0.13819999999999999</v>
      </c>
      <c r="AJ57" s="2">
        <f t="shared" si="22"/>
        <v>0.32</v>
      </c>
      <c r="AK57" s="2">
        <f t="shared" si="23"/>
        <v>0</v>
      </c>
      <c r="AL57" s="1">
        <f t="shared" si="24"/>
        <v>0</v>
      </c>
      <c r="AM57" s="2">
        <f t="shared" si="25"/>
        <v>0.33333333333333331</v>
      </c>
      <c r="AN57" s="2">
        <f t="shared" si="26"/>
        <v>0.66666666666666663</v>
      </c>
      <c r="AO57" s="1">
        <f t="shared" si="27"/>
        <v>7.6923076923076927E-2</v>
      </c>
      <c r="AP57" s="5">
        <f>(AF57*Sheet2!$B$2)+(AG57*Sheet2!$B$3)+(AI57*Sheet2!$B$4)+(AJ57*Sheet2!$B$5)+(AK57*Sheet2!$B$6)+(AM57*Sheet2!$B$7)+(AN57*Sheet2!$B$8)</f>
        <v>43.716166666666673</v>
      </c>
      <c r="AQ57" s="1"/>
      <c r="AR57" s="1"/>
      <c r="AS57" s="1"/>
      <c r="AT57" s="1"/>
    </row>
    <row r="58" spans="1:46" x14ac:dyDescent="0.25">
      <c r="A58" s="4">
        <v>51</v>
      </c>
      <c r="B58" s="1" t="s">
        <v>59</v>
      </c>
      <c r="C58" s="1">
        <v>1</v>
      </c>
      <c r="D58" s="1" t="s">
        <v>160</v>
      </c>
      <c r="E58" s="1">
        <v>3</v>
      </c>
      <c r="F58" s="1" t="s">
        <v>161</v>
      </c>
      <c r="G58" s="1">
        <v>6</v>
      </c>
      <c r="H58" s="1">
        <v>6</v>
      </c>
      <c r="I58" s="1">
        <v>30</v>
      </c>
      <c r="J58" s="1">
        <v>31</v>
      </c>
      <c r="K58" s="1">
        <v>30</v>
      </c>
      <c r="L58" s="1">
        <v>31</v>
      </c>
      <c r="M58" s="1">
        <v>6</v>
      </c>
      <c r="N58" s="1">
        <v>19</v>
      </c>
      <c r="O58" s="1">
        <f t="shared" si="14"/>
        <v>25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3</v>
      </c>
      <c r="V58" s="1">
        <v>3</v>
      </c>
      <c r="W58" s="1">
        <v>1</v>
      </c>
      <c r="AC58" s="1">
        <f t="shared" si="15"/>
        <v>0.49180327868852458</v>
      </c>
      <c r="AD58" s="1">
        <f t="shared" si="16"/>
        <v>0.49180327868852458</v>
      </c>
      <c r="AE58" s="1">
        <f t="shared" si="17"/>
        <v>0.56920327868852461</v>
      </c>
      <c r="AF58" s="2">
        <f t="shared" si="18"/>
        <v>0.55470327868852465</v>
      </c>
      <c r="AG58" s="2">
        <f t="shared" si="19"/>
        <v>0.49180327868852458</v>
      </c>
      <c r="AH58" s="1">
        <f t="shared" si="20"/>
        <v>0.24</v>
      </c>
      <c r="AI58" s="2">
        <f t="shared" si="21"/>
        <v>0.31919999999999998</v>
      </c>
      <c r="AJ58" s="2">
        <f t="shared" si="22"/>
        <v>0.4098360655737705</v>
      </c>
      <c r="AK58" s="2">
        <f t="shared" si="23"/>
        <v>0</v>
      </c>
      <c r="AL58" s="1">
        <f t="shared" si="24"/>
        <v>1</v>
      </c>
      <c r="AM58" s="2">
        <f t="shared" si="25"/>
        <v>0.5</v>
      </c>
      <c r="AN58" s="2">
        <f t="shared" si="26"/>
        <v>0.16666666666666666</v>
      </c>
      <c r="AO58" s="1">
        <f t="shared" si="27"/>
        <v>0.2</v>
      </c>
      <c r="AP58" s="5">
        <f>(AF58*Sheet2!$B$2)+(AG58*Sheet2!$B$3)+(AI58*Sheet2!$B$4)+(AJ58*Sheet2!$B$5)+(AK58*Sheet2!$B$6)+(AM58*Sheet2!$B$7)+(AN58*Sheet2!$B$8)</f>
        <v>42.3743743169399</v>
      </c>
      <c r="AQ58" s="1"/>
      <c r="AR58" s="1"/>
      <c r="AS58" s="1"/>
      <c r="AT58" s="1"/>
    </row>
    <row r="59" spans="1:46" s="17" customFormat="1" x14ac:dyDescent="0.25">
      <c r="A59" s="15">
        <v>52</v>
      </c>
      <c r="B59" s="16" t="s">
        <v>41</v>
      </c>
      <c r="C59" s="16">
        <v>2</v>
      </c>
      <c r="D59" s="16" t="s">
        <v>162</v>
      </c>
      <c r="E59" s="16">
        <v>1</v>
      </c>
      <c r="F59" s="16" t="s">
        <v>163</v>
      </c>
      <c r="G59" s="16">
        <v>15</v>
      </c>
      <c r="H59" s="16">
        <v>4</v>
      </c>
      <c r="I59" s="16">
        <v>22</v>
      </c>
      <c r="J59" s="16">
        <v>16</v>
      </c>
      <c r="K59" s="16">
        <v>84</v>
      </c>
      <c r="L59" s="16">
        <v>76</v>
      </c>
      <c r="M59" s="16">
        <v>8</v>
      </c>
      <c r="N59" s="16">
        <v>17</v>
      </c>
      <c r="O59" s="16">
        <f t="shared" si="14"/>
        <v>25</v>
      </c>
      <c r="P59" s="16">
        <v>4</v>
      </c>
      <c r="Q59" s="16">
        <v>3</v>
      </c>
      <c r="R59" s="16">
        <v>0</v>
      </c>
      <c r="S59" s="16">
        <v>0</v>
      </c>
      <c r="T59" s="16">
        <v>0</v>
      </c>
      <c r="U59" s="16">
        <v>8</v>
      </c>
      <c r="V59" s="16">
        <v>3</v>
      </c>
      <c r="W59" s="16">
        <v>3</v>
      </c>
      <c r="X59" s="16"/>
      <c r="Y59" s="16"/>
      <c r="Z59" s="16"/>
      <c r="AA59" s="16"/>
      <c r="AB59" s="16"/>
      <c r="AC59" s="16">
        <f t="shared" si="15"/>
        <v>0.57894736842105265</v>
      </c>
      <c r="AD59" s="16">
        <f t="shared" si="16"/>
        <v>0.43534736842105265</v>
      </c>
      <c r="AE59" s="16">
        <f t="shared" si="17"/>
        <v>0.48694736842105263</v>
      </c>
      <c r="AF59" s="16">
        <f t="shared" si="18"/>
        <v>0.48694736842105263</v>
      </c>
      <c r="AG59" s="16">
        <f t="shared" si="19"/>
        <v>0.52500000000000002</v>
      </c>
      <c r="AH59" s="16">
        <f t="shared" si="20"/>
        <v>0.32</v>
      </c>
      <c r="AI59" s="16">
        <f t="shared" si="21"/>
        <v>0.42559999999999998</v>
      </c>
      <c r="AJ59" s="16">
        <f t="shared" si="22"/>
        <v>0.15625</v>
      </c>
      <c r="AK59" s="16">
        <f t="shared" si="23"/>
        <v>0.26666666666666666</v>
      </c>
      <c r="AL59" s="16">
        <f t="shared" si="24"/>
        <v>0.375</v>
      </c>
      <c r="AM59" s="16">
        <f t="shared" si="25"/>
        <v>0.53333333333333333</v>
      </c>
      <c r="AN59" s="16">
        <f t="shared" si="26"/>
        <v>0.2</v>
      </c>
      <c r="AO59" s="16">
        <f t="shared" si="27"/>
        <v>9.5238095238095233E-2</v>
      </c>
      <c r="AP59" s="16">
        <f>(AF59*Sheet2!$B$2)+(AG59*Sheet2!$B$3)+(AI59*Sheet2!$B$4)+(AJ59*Sheet2!$B$5)+(AK59*Sheet2!$B$6)+(AM59*Sheet2!$B$7)+(AN59*Sheet2!$B$8)</f>
        <v>42.361657894736844</v>
      </c>
      <c r="AQ59" s="16"/>
      <c r="AR59" s="16"/>
      <c r="AS59" s="16"/>
      <c r="AT59" s="16"/>
    </row>
    <row r="60" spans="1:46" s="17" customFormat="1" x14ac:dyDescent="0.25">
      <c r="A60" s="15">
        <v>53</v>
      </c>
      <c r="B60" s="16" t="s">
        <v>59</v>
      </c>
      <c r="C60" s="16">
        <v>1</v>
      </c>
      <c r="D60" s="16" t="s">
        <v>164</v>
      </c>
      <c r="E60" s="16">
        <v>1</v>
      </c>
      <c r="F60" s="16" t="s">
        <v>165</v>
      </c>
      <c r="G60" s="16">
        <v>8</v>
      </c>
      <c r="H60" s="16">
        <v>4</v>
      </c>
      <c r="I60" s="16">
        <v>19</v>
      </c>
      <c r="J60" s="16">
        <v>19</v>
      </c>
      <c r="K60" s="16">
        <v>59</v>
      </c>
      <c r="L60" s="16">
        <v>31</v>
      </c>
      <c r="M60" s="16">
        <v>5</v>
      </c>
      <c r="N60" s="16">
        <v>18</v>
      </c>
      <c r="O60" s="16">
        <f t="shared" si="14"/>
        <v>23</v>
      </c>
      <c r="P60" s="16">
        <v>2</v>
      </c>
      <c r="Q60" s="16">
        <v>2</v>
      </c>
      <c r="R60" s="16">
        <v>0</v>
      </c>
      <c r="S60" s="16">
        <v>0</v>
      </c>
      <c r="T60" s="16">
        <v>0</v>
      </c>
      <c r="U60" s="16">
        <v>5</v>
      </c>
      <c r="V60" s="16">
        <v>3</v>
      </c>
      <c r="W60" s="16">
        <v>2</v>
      </c>
      <c r="X60" s="16"/>
      <c r="Y60" s="16"/>
      <c r="Z60" s="16"/>
      <c r="AA60" s="16"/>
      <c r="AB60" s="16"/>
      <c r="AC60" s="16">
        <f t="shared" si="15"/>
        <v>0.5</v>
      </c>
      <c r="AD60" s="16">
        <f t="shared" si="16"/>
        <v>0.35639999999999999</v>
      </c>
      <c r="AE60" s="16">
        <f t="shared" si="17"/>
        <v>0.40799999999999997</v>
      </c>
      <c r="AF60" s="16">
        <f t="shared" si="18"/>
        <v>0.39349999999999996</v>
      </c>
      <c r="AG60" s="16">
        <f t="shared" si="19"/>
        <v>0.65555555555555556</v>
      </c>
      <c r="AH60" s="16">
        <f t="shared" si="20"/>
        <v>0.21739130434782608</v>
      </c>
      <c r="AI60" s="16">
        <f t="shared" si="21"/>
        <v>0.28339130434782611</v>
      </c>
      <c r="AJ60" s="16">
        <f t="shared" si="22"/>
        <v>0.25555555555555554</v>
      </c>
      <c r="AK60" s="16">
        <f t="shared" si="23"/>
        <v>0.25</v>
      </c>
      <c r="AL60" s="16">
        <f t="shared" si="24"/>
        <v>0.6</v>
      </c>
      <c r="AM60" s="16">
        <f t="shared" si="25"/>
        <v>0.625</v>
      </c>
      <c r="AN60" s="16">
        <f t="shared" si="26"/>
        <v>0.25</v>
      </c>
      <c r="AO60" s="16">
        <f t="shared" si="27"/>
        <v>8.4745762711864403E-2</v>
      </c>
      <c r="AP60" s="16">
        <f>(AF60*Sheet2!$B$2)+(AG60*Sheet2!$B$3)+(AI60*Sheet2!$B$4)+(AJ60*Sheet2!$B$5)+(AK60*Sheet2!$B$6)+(AM60*Sheet2!$B$7)+(AN60*Sheet2!$B$8)</f>
        <v>42.273079710144927</v>
      </c>
      <c r="AQ60" s="16"/>
      <c r="AR60" s="16"/>
      <c r="AS60" s="16"/>
      <c r="AT60" s="16"/>
    </row>
    <row r="61" spans="1:46" s="17" customFormat="1" x14ac:dyDescent="0.25">
      <c r="A61" s="15">
        <v>54</v>
      </c>
      <c r="B61" s="16" t="s">
        <v>59</v>
      </c>
      <c r="C61" s="16">
        <v>1</v>
      </c>
      <c r="D61" s="16" t="s">
        <v>166</v>
      </c>
      <c r="E61" s="16">
        <v>1</v>
      </c>
      <c r="F61" s="16" t="s">
        <v>167</v>
      </c>
      <c r="G61" s="16">
        <v>4</v>
      </c>
      <c r="H61" s="16">
        <v>4</v>
      </c>
      <c r="I61" s="16">
        <v>22</v>
      </c>
      <c r="J61" s="16">
        <v>17</v>
      </c>
      <c r="K61" s="16">
        <v>22</v>
      </c>
      <c r="L61" s="16">
        <v>17</v>
      </c>
      <c r="M61" s="16">
        <v>3</v>
      </c>
      <c r="N61" s="16">
        <v>5</v>
      </c>
      <c r="O61" s="16">
        <f t="shared" si="14"/>
        <v>8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3</v>
      </c>
      <c r="V61" s="16">
        <v>0</v>
      </c>
      <c r="W61" s="16">
        <v>1</v>
      </c>
      <c r="X61" s="16"/>
      <c r="Y61" s="16"/>
      <c r="Z61" s="16"/>
      <c r="AA61" s="16"/>
      <c r="AB61" s="16"/>
      <c r="AC61" s="16">
        <f t="shared" si="15"/>
        <v>0.5641025641025641</v>
      </c>
      <c r="AD61" s="16">
        <f t="shared" si="16"/>
        <v>0.42050256410256409</v>
      </c>
      <c r="AE61" s="16">
        <f t="shared" si="17"/>
        <v>0.47210256410256407</v>
      </c>
      <c r="AF61" s="16">
        <f t="shared" si="18"/>
        <v>0.45760256410256406</v>
      </c>
      <c r="AG61" s="16">
        <f t="shared" si="19"/>
        <v>0.5641025641025641</v>
      </c>
      <c r="AH61" s="16">
        <f t="shared" si="20"/>
        <v>0.375</v>
      </c>
      <c r="AI61" s="16">
        <f t="shared" si="21"/>
        <v>0.41459999999999997</v>
      </c>
      <c r="AJ61" s="16">
        <f t="shared" si="22"/>
        <v>0.20512820512820512</v>
      </c>
      <c r="AK61" s="16">
        <f t="shared" si="23"/>
        <v>0</v>
      </c>
      <c r="AL61" s="16">
        <f t="shared" si="24"/>
        <v>0</v>
      </c>
      <c r="AM61" s="16">
        <f t="shared" si="25"/>
        <v>0.75</v>
      </c>
      <c r="AN61" s="16">
        <f t="shared" si="26"/>
        <v>0.25</v>
      </c>
      <c r="AO61" s="16">
        <f t="shared" si="27"/>
        <v>0.13636363636363635</v>
      </c>
      <c r="AP61" s="16">
        <f>(AF61*Sheet2!$B$2)+(AG61*Sheet2!$B$3)+(AI61*Sheet2!$B$4)+(AJ61*Sheet2!$B$5)+(AK61*Sheet2!$B$6)+(AM61*Sheet2!$B$7)+(AN61*Sheet2!$B$8)</f>
        <v>42.245423076923075</v>
      </c>
      <c r="AQ61" s="16"/>
      <c r="AR61" s="16"/>
      <c r="AS61" s="16"/>
      <c r="AT61" s="16"/>
    </row>
    <row r="62" spans="1:46" s="17" customFormat="1" x14ac:dyDescent="0.25">
      <c r="A62" s="15">
        <v>55</v>
      </c>
      <c r="B62" s="16" t="s">
        <v>59</v>
      </c>
      <c r="C62" s="16">
        <v>1</v>
      </c>
      <c r="D62" s="16" t="s">
        <v>168</v>
      </c>
      <c r="E62" s="16">
        <v>2</v>
      </c>
      <c r="F62" s="16" t="s">
        <v>169</v>
      </c>
      <c r="G62" s="16">
        <v>13</v>
      </c>
      <c r="H62" s="16">
        <v>3</v>
      </c>
      <c r="I62" s="16">
        <v>11</v>
      </c>
      <c r="J62" s="16">
        <v>14</v>
      </c>
      <c r="K62" s="16">
        <v>87</v>
      </c>
      <c r="L62" s="16">
        <v>61</v>
      </c>
      <c r="M62" s="16">
        <v>11</v>
      </c>
      <c r="N62" s="16">
        <v>23</v>
      </c>
      <c r="O62" s="16">
        <f t="shared" si="14"/>
        <v>34</v>
      </c>
      <c r="P62" s="16">
        <v>1</v>
      </c>
      <c r="Q62" s="16">
        <v>1</v>
      </c>
      <c r="R62" s="16">
        <v>0</v>
      </c>
      <c r="S62" s="16">
        <v>0</v>
      </c>
      <c r="T62" s="16">
        <v>0</v>
      </c>
      <c r="U62" s="16">
        <v>8</v>
      </c>
      <c r="V62" s="16">
        <v>5</v>
      </c>
      <c r="W62" s="16">
        <v>3</v>
      </c>
      <c r="X62" s="16"/>
      <c r="Y62" s="16"/>
      <c r="Z62" s="16"/>
      <c r="AA62" s="16"/>
      <c r="AB62" s="16"/>
      <c r="AC62" s="16">
        <f t="shared" si="15"/>
        <v>0.44</v>
      </c>
      <c r="AD62" s="16">
        <f t="shared" si="16"/>
        <v>0.36819999999999997</v>
      </c>
      <c r="AE62" s="16">
        <f t="shared" si="17"/>
        <v>0.40689999999999998</v>
      </c>
      <c r="AF62" s="16">
        <f t="shared" si="18"/>
        <v>0.39239999999999997</v>
      </c>
      <c r="AG62" s="16">
        <f t="shared" si="19"/>
        <v>0.58783783783783783</v>
      </c>
      <c r="AH62" s="16">
        <f t="shared" si="20"/>
        <v>0.3235294117647059</v>
      </c>
      <c r="AI62" s="16">
        <f t="shared" si="21"/>
        <v>0.46872941176470589</v>
      </c>
      <c r="AJ62" s="16">
        <f t="shared" si="22"/>
        <v>0.22972972972972974</v>
      </c>
      <c r="AK62" s="16">
        <f t="shared" si="23"/>
        <v>7.6923076923076927E-2</v>
      </c>
      <c r="AL62" s="16">
        <f t="shared" si="24"/>
        <v>0.625</v>
      </c>
      <c r="AM62" s="16">
        <f t="shared" si="25"/>
        <v>0.61538461538461542</v>
      </c>
      <c r="AN62" s="16">
        <f t="shared" si="26"/>
        <v>0.23076923076923078</v>
      </c>
      <c r="AO62" s="16">
        <f t="shared" si="27"/>
        <v>0.12643678160919541</v>
      </c>
      <c r="AP62" s="16">
        <f>(AF62*Sheet2!$B$2)+(AG62*Sheet2!$B$3)+(AI62*Sheet2!$B$4)+(AJ62*Sheet2!$B$5)+(AK62*Sheet2!$B$6)+(AM62*Sheet2!$B$7)+(AN62*Sheet2!$B$8)</f>
        <v>40.55227124862418</v>
      </c>
      <c r="AQ62" s="16"/>
      <c r="AR62" s="16"/>
      <c r="AS62" s="16"/>
      <c r="AT62" s="16"/>
    </row>
    <row r="63" spans="1:46" s="17" customFormat="1" x14ac:dyDescent="0.25">
      <c r="A63" s="15">
        <v>56</v>
      </c>
      <c r="B63" s="16" t="s">
        <v>51</v>
      </c>
      <c r="C63" s="16">
        <v>2</v>
      </c>
      <c r="D63" s="16" t="s">
        <v>170</v>
      </c>
      <c r="E63" s="16">
        <v>3</v>
      </c>
      <c r="F63" s="16" t="s">
        <v>171</v>
      </c>
      <c r="G63" s="16">
        <v>11</v>
      </c>
      <c r="H63" s="16">
        <v>5</v>
      </c>
      <c r="I63" s="16">
        <v>22</v>
      </c>
      <c r="J63" s="16">
        <v>28</v>
      </c>
      <c r="K63" s="16">
        <v>59</v>
      </c>
      <c r="L63" s="16">
        <v>61</v>
      </c>
      <c r="M63" s="16">
        <v>5</v>
      </c>
      <c r="N63" s="16">
        <v>10</v>
      </c>
      <c r="O63" s="16">
        <f t="shared" si="14"/>
        <v>15</v>
      </c>
      <c r="P63" s="16">
        <v>2</v>
      </c>
      <c r="Q63" s="16">
        <v>0</v>
      </c>
      <c r="R63" s="16">
        <v>0</v>
      </c>
      <c r="S63" s="16">
        <v>0</v>
      </c>
      <c r="T63" s="16">
        <v>0</v>
      </c>
      <c r="U63" s="16">
        <v>5</v>
      </c>
      <c r="V63" s="16">
        <v>3</v>
      </c>
      <c r="W63" s="16">
        <v>2</v>
      </c>
      <c r="X63" s="16"/>
      <c r="Y63" s="16"/>
      <c r="Z63" s="16"/>
      <c r="AA63" s="16"/>
      <c r="AB63" s="16"/>
      <c r="AC63" s="16">
        <f t="shared" si="15"/>
        <v>0.44</v>
      </c>
      <c r="AD63" s="16">
        <f t="shared" si="16"/>
        <v>0.44</v>
      </c>
      <c r="AE63" s="16">
        <f t="shared" si="17"/>
        <v>0.50449999999999995</v>
      </c>
      <c r="AF63" s="16">
        <f t="shared" si="18"/>
        <v>0.50449999999999995</v>
      </c>
      <c r="AG63" s="16">
        <f t="shared" si="19"/>
        <v>0.49166666666666664</v>
      </c>
      <c r="AH63" s="16">
        <f t="shared" si="20"/>
        <v>0.33333333333333331</v>
      </c>
      <c r="AI63" s="16">
        <f t="shared" si="21"/>
        <v>0.39933333333333332</v>
      </c>
      <c r="AJ63" s="16">
        <f t="shared" si="22"/>
        <v>0.125</v>
      </c>
      <c r="AK63" s="16">
        <f t="shared" si="23"/>
        <v>0.18181818181818182</v>
      </c>
      <c r="AL63" s="16">
        <f t="shared" si="24"/>
        <v>0.6</v>
      </c>
      <c r="AM63" s="16">
        <f t="shared" si="25"/>
        <v>0.45454545454545453</v>
      </c>
      <c r="AN63" s="16">
        <f t="shared" si="26"/>
        <v>0.18181818181818182</v>
      </c>
      <c r="AO63" s="16">
        <f t="shared" si="27"/>
        <v>8.4745762711864403E-2</v>
      </c>
      <c r="AP63" s="16">
        <f>(AF63*Sheet2!$B$2)+(AG63*Sheet2!$B$3)+(AI63*Sheet2!$B$4)+(AJ63*Sheet2!$B$5)+(AK63*Sheet2!$B$6)+(AM63*Sheet2!$B$7)+(AN63*Sheet2!$B$8)</f>
        <v>40.00689393939394</v>
      </c>
      <c r="AQ63" s="16"/>
      <c r="AR63" s="16"/>
      <c r="AS63" s="16"/>
      <c r="AT63" s="16"/>
    </row>
    <row r="64" spans="1:46" x14ac:dyDescent="0.25">
      <c r="A64" s="4">
        <v>57</v>
      </c>
      <c r="B64" s="1" t="s">
        <v>54</v>
      </c>
      <c r="C64" s="1">
        <v>1</v>
      </c>
      <c r="D64" s="1" t="s">
        <v>172</v>
      </c>
      <c r="E64" s="1">
        <v>4</v>
      </c>
      <c r="F64" s="1" t="s">
        <v>173</v>
      </c>
      <c r="G64" s="1">
        <v>17</v>
      </c>
      <c r="H64" s="1">
        <v>6</v>
      </c>
      <c r="I64" s="1">
        <v>26</v>
      </c>
      <c r="J64" s="1">
        <v>34</v>
      </c>
      <c r="K64" s="1">
        <v>94</v>
      </c>
      <c r="L64" s="1">
        <v>101</v>
      </c>
      <c r="M64" s="1">
        <v>4</v>
      </c>
      <c r="N64" s="1">
        <v>32</v>
      </c>
      <c r="O64" s="1">
        <f t="shared" si="14"/>
        <v>36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9</v>
      </c>
      <c r="V64" s="1">
        <v>6</v>
      </c>
      <c r="W64" s="1">
        <v>1</v>
      </c>
      <c r="AC64" s="1">
        <f t="shared" si="15"/>
        <v>0.43333333333333335</v>
      </c>
      <c r="AD64" s="1">
        <f t="shared" si="16"/>
        <v>0.50513333333333332</v>
      </c>
      <c r="AE64" s="1">
        <f t="shared" si="17"/>
        <v>0.58253333333333335</v>
      </c>
      <c r="AF64" s="2">
        <f t="shared" si="18"/>
        <v>0.56803333333333339</v>
      </c>
      <c r="AG64" s="2">
        <f t="shared" si="19"/>
        <v>0.48205128205128206</v>
      </c>
      <c r="AH64" s="1">
        <f t="shared" si="20"/>
        <v>0.1111111111111111</v>
      </c>
      <c r="AI64" s="2">
        <f t="shared" si="21"/>
        <v>0.16391111111111112</v>
      </c>
      <c r="AJ64" s="2">
        <f t="shared" si="22"/>
        <v>0.18461538461538463</v>
      </c>
      <c r="AK64" s="2">
        <f t="shared" si="23"/>
        <v>0</v>
      </c>
      <c r="AL64" s="1">
        <f t="shared" si="24"/>
        <v>0.66666666666666663</v>
      </c>
      <c r="AM64" s="2">
        <f t="shared" si="25"/>
        <v>0.52941176470588236</v>
      </c>
      <c r="AN64" s="2">
        <f t="shared" si="26"/>
        <v>5.8823529411764705E-2</v>
      </c>
      <c r="AO64" s="1">
        <f t="shared" si="27"/>
        <v>4.2553191489361701E-2</v>
      </c>
      <c r="AP64" s="5">
        <f>(AF64*Sheet2!$B$2)+(AG64*Sheet2!$B$3)+(AI64*Sheet2!$B$4)+(AJ64*Sheet2!$B$5)+(AK64*Sheet2!$B$6)+(AM64*Sheet2!$B$7)+(AN64*Sheet2!$B$8)</f>
        <v>38.595692559074919</v>
      </c>
      <c r="AQ64" s="1"/>
      <c r="AR64" s="1"/>
      <c r="AS64" s="1"/>
      <c r="AT64" s="1"/>
    </row>
    <row r="65" spans="1:46" x14ac:dyDescent="0.25">
      <c r="A65" s="4">
        <v>58</v>
      </c>
      <c r="B65" s="1" t="s">
        <v>54</v>
      </c>
      <c r="C65" s="1">
        <v>1</v>
      </c>
      <c r="D65" s="1" t="s">
        <v>174</v>
      </c>
      <c r="E65" s="1">
        <v>4</v>
      </c>
      <c r="F65" s="1" t="s">
        <v>175</v>
      </c>
      <c r="G65" s="1">
        <v>3</v>
      </c>
      <c r="H65" s="1">
        <v>3</v>
      </c>
      <c r="I65" s="1">
        <v>12</v>
      </c>
      <c r="J65" s="1">
        <v>13</v>
      </c>
      <c r="K65" s="1">
        <v>12</v>
      </c>
      <c r="L65" s="1">
        <v>13</v>
      </c>
      <c r="M65" s="1">
        <v>0</v>
      </c>
      <c r="N65" s="1">
        <v>5</v>
      </c>
      <c r="O65" s="1">
        <f t="shared" si="14"/>
        <v>5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1</v>
      </c>
      <c r="W65" s="1">
        <v>2</v>
      </c>
      <c r="AC65" s="1">
        <f t="shared" si="15"/>
        <v>0.48</v>
      </c>
      <c r="AD65" s="1">
        <f t="shared" si="16"/>
        <v>0.55179999999999996</v>
      </c>
      <c r="AE65" s="1">
        <f t="shared" si="17"/>
        <v>0.59049999999999991</v>
      </c>
      <c r="AF65" s="2">
        <f t="shared" si="18"/>
        <v>0.57599999999999996</v>
      </c>
      <c r="AG65" s="2">
        <f t="shared" si="19"/>
        <v>0.48</v>
      </c>
      <c r="AH65" s="1">
        <f t="shared" si="20"/>
        <v>0</v>
      </c>
      <c r="AI65" s="2">
        <f t="shared" si="21"/>
        <v>0</v>
      </c>
      <c r="AJ65" s="2">
        <f t="shared" si="22"/>
        <v>0.2</v>
      </c>
      <c r="AK65" s="2">
        <f t="shared" si="23"/>
        <v>0</v>
      </c>
      <c r="AL65" s="1">
        <f t="shared" si="24"/>
        <v>1</v>
      </c>
      <c r="AM65" s="2">
        <f t="shared" si="25"/>
        <v>0.33333333333333331</v>
      </c>
      <c r="AN65" s="2">
        <f t="shared" si="26"/>
        <v>0.66666666666666663</v>
      </c>
      <c r="AO65" s="1">
        <f t="shared" si="27"/>
        <v>0</v>
      </c>
      <c r="AP65" s="5">
        <f>(AF65*Sheet2!$B$2)+(AG65*Sheet2!$B$3)+(AI65*Sheet2!$B$4)+(AJ65*Sheet2!$B$5)+(AK65*Sheet2!$B$6)+(AM65*Sheet2!$B$7)+(AN65*Sheet2!$B$8)</f>
        <v>38.426666666666669</v>
      </c>
      <c r="AQ65" s="1"/>
      <c r="AR65" s="1"/>
      <c r="AS65" s="1"/>
      <c r="AT65" s="1"/>
    </row>
    <row r="66" spans="1:46" x14ac:dyDescent="0.25">
      <c r="A66" s="4">
        <v>59</v>
      </c>
      <c r="B66" s="1" t="s">
        <v>44</v>
      </c>
      <c r="C66" s="1">
        <v>3</v>
      </c>
      <c r="D66" s="1" t="s">
        <v>176</v>
      </c>
      <c r="E66" s="1">
        <v>5</v>
      </c>
      <c r="F66" s="1" t="s">
        <v>177</v>
      </c>
      <c r="G66" s="1">
        <v>9</v>
      </c>
      <c r="H66" s="1">
        <v>4</v>
      </c>
      <c r="I66" s="1">
        <v>16</v>
      </c>
      <c r="J66" s="1">
        <v>21</v>
      </c>
      <c r="K66" s="1">
        <v>49</v>
      </c>
      <c r="L66" s="1">
        <v>47</v>
      </c>
      <c r="M66" s="1">
        <v>0</v>
      </c>
      <c r="N66" s="1">
        <v>7</v>
      </c>
      <c r="O66" s="1">
        <f t="shared" ref="O66:O79" si="28">N66+M66</f>
        <v>7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4</v>
      </c>
      <c r="V66" s="1">
        <v>2</v>
      </c>
      <c r="W66" s="1">
        <v>0</v>
      </c>
      <c r="AC66" s="1">
        <f t="shared" ref="AC66:AC79" si="29">I66/(SUM(I66:J66))</f>
        <v>0.43243243243243246</v>
      </c>
      <c r="AD66" s="1">
        <f t="shared" ref="AD66:AD79" si="30">IF($E66=1,AC66-0.1436,IF($E66=2,AC66-0.0718,IF($E66 = 3,AC66,IF($E66=4,AC66+0.0718, IF($E66=5,AC66+0.1436)))))</f>
        <v>0.57603243243243241</v>
      </c>
      <c r="AE66" s="1">
        <f t="shared" ref="AE66:AE79" si="31">AD66+(0.0129*H66)</f>
        <v>0.62763243243243239</v>
      </c>
      <c r="AF66" s="2">
        <f t="shared" ref="AF66:AF79" si="32">IF(C66=1,AE66-0.0145,IF(C66=2,AE66,IF(C66=3,AE66+0.0145)))</f>
        <v>0.64213243243243234</v>
      </c>
      <c r="AG66" s="2">
        <f t="shared" ref="AG66:AG79" si="33">K66/(SUM(K66:L66))</f>
        <v>0.51041666666666663</v>
      </c>
      <c r="AH66" s="1">
        <f t="shared" ref="AH66:AH79" si="34">M66/(SUM(M66:N66))</f>
        <v>0</v>
      </c>
      <c r="AI66" s="2">
        <f t="shared" ref="AI66:AI79" si="35">AH66+(0.0132*M66)</f>
        <v>0</v>
      </c>
      <c r="AJ66" s="2">
        <f t="shared" ref="AJ66:AJ79" si="36">SUM(M66:N66)/SUM(K66:L66)</f>
        <v>7.2916666666666671E-2</v>
      </c>
      <c r="AK66" s="2">
        <f t="shared" ref="AK66:AK79" si="37">P66/G66</f>
        <v>0</v>
      </c>
      <c r="AL66" s="1">
        <f t="shared" ref="AL66:AL79" si="38">V66/U66</f>
        <v>0.5</v>
      </c>
      <c r="AM66" s="2">
        <f t="shared" ref="AM66:AM79" si="39">U66/G66</f>
        <v>0.44444444444444442</v>
      </c>
      <c r="AN66" s="2">
        <f t="shared" ref="AN66:AN79" si="40">W66/G66</f>
        <v>0</v>
      </c>
      <c r="AO66" s="1">
        <f t="shared" ref="AO66:AO79" si="41">M66/K66</f>
        <v>0</v>
      </c>
      <c r="AP66" s="5">
        <f>(AF66*Sheet2!$B$2)+(AG66*Sheet2!$B$3)+(AI66*Sheet2!$B$4)+(AJ66*Sheet2!$B$5)+(AK66*Sheet2!$B$6)+(AM66*Sheet2!$B$7)+(AN66*Sheet2!$B$8)</f>
        <v>37.856579579579567</v>
      </c>
      <c r="AQ66" s="1"/>
      <c r="AR66" s="1"/>
      <c r="AS66" s="1"/>
      <c r="AT66" s="1"/>
    </row>
    <row r="67" spans="1:46" x14ac:dyDescent="0.25">
      <c r="A67" s="4">
        <v>60</v>
      </c>
      <c r="B67" s="1" t="s">
        <v>41</v>
      </c>
      <c r="C67" s="1">
        <v>2</v>
      </c>
      <c r="D67" s="1" t="s">
        <v>178</v>
      </c>
      <c r="E67" s="1">
        <v>3</v>
      </c>
      <c r="F67" s="1" t="s">
        <v>179</v>
      </c>
      <c r="G67" s="1">
        <v>9</v>
      </c>
      <c r="H67" s="1">
        <v>9</v>
      </c>
      <c r="I67" s="1">
        <v>42</v>
      </c>
      <c r="J67" s="1">
        <v>50</v>
      </c>
      <c r="K67" s="1">
        <v>42</v>
      </c>
      <c r="L67" s="1">
        <v>50</v>
      </c>
      <c r="M67" s="1">
        <v>3</v>
      </c>
      <c r="N67" s="1">
        <v>20</v>
      </c>
      <c r="O67" s="1">
        <f t="shared" si="28"/>
        <v>23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4</v>
      </c>
      <c r="V67" s="1">
        <v>1</v>
      </c>
      <c r="W67" s="1">
        <v>0</v>
      </c>
      <c r="AC67" s="1">
        <f t="shared" si="29"/>
        <v>0.45652173913043476</v>
      </c>
      <c r="AD67" s="1">
        <f t="shared" si="30"/>
        <v>0.45652173913043476</v>
      </c>
      <c r="AE67" s="1">
        <f t="shared" si="31"/>
        <v>0.57262173913043479</v>
      </c>
      <c r="AF67" s="2">
        <f t="shared" si="32"/>
        <v>0.57262173913043479</v>
      </c>
      <c r="AG67" s="2">
        <f t="shared" si="33"/>
        <v>0.45652173913043476</v>
      </c>
      <c r="AH67" s="1">
        <f t="shared" si="34"/>
        <v>0.13043478260869565</v>
      </c>
      <c r="AI67" s="2">
        <f t="shared" si="35"/>
        <v>0.17003478260869564</v>
      </c>
      <c r="AJ67" s="2">
        <f t="shared" si="36"/>
        <v>0.25</v>
      </c>
      <c r="AK67" s="2">
        <f t="shared" si="37"/>
        <v>0</v>
      </c>
      <c r="AL67" s="1">
        <f t="shared" si="38"/>
        <v>0.25</v>
      </c>
      <c r="AM67" s="2">
        <f t="shared" si="39"/>
        <v>0.44444444444444442</v>
      </c>
      <c r="AN67" s="2">
        <f t="shared" si="40"/>
        <v>0</v>
      </c>
      <c r="AO67" s="1">
        <f t="shared" si="41"/>
        <v>7.1428571428571425E-2</v>
      </c>
      <c r="AP67" s="5">
        <f>(AF67*Sheet2!$B$2)+(AG67*Sheet2!$B$3)+(AI67*Sheet2!$B$4)+(AJ67*Sheet2!$B$5)+(AK67*Sheet2!$B$6)+(AM67*Sheet2!$B$7)+(AN67*Sheet2!$B$8)</f>
        <v>37.816987922705309</v>
      </c>
      <c r="AQ67" s="1"/>
      <c r="AR67" s="1"/>
      <c r="AS67" s="1"/>
      <c r="AT67" s="1"/>
    </row>
    <row r="68" spans="1:46" x14ac:dyDescent="0.25">
      <c r="A68" s="4">
        <v>61</v>
      </c>
      <c r="B68" s="1" t="s">
        <v>51</v>
      </c>
      <c r="C68" s="1">
        <v>2</v>
      </c>
      <c r="D68" s="1" t="s">
        <v>180</v>
      </c>
      <c r="E68" s="1">
        <v>3</v>
      </c>
      <c r="F68" s="1" t="s">
        <v>181</v>
      </c>
      <c r="G68" s="1">
        <v>12</v>
      </c>
      <c r="H68" s="1">
        <v>2</v>
      </c>
      <c r="I68" s="1">
        <v>4</v>
      </c>
      <c r="J68" s="1">
        <v>8</v>
      </c>
      <c r="K68" s="1">
        <v>75</v>
      </c>
      <c r="L68" s="1">
        <v>62</v>
      </c>
      <c r="M68" s="1">
        <v>4</v>
      </c>
      <c r="N68" s="1">
        <v>15</v>
      </c>
      <c r="O68" s="1">
        <f t="shared" si="28"/>
        <v>19</v>
      </c>
      <c r="P68" s="1">
        <v>4</v>
      </c>
      <c r="Q68" s="1">
        <v>2</v>
      </c>
      <c r="R68" s="1">
        <v>0</v>
      </c>
      <c r="S68" s="1">
        <v>0</v>
      </c>
      <c r="T68" s="1">
        <v>0</v>
      </c>
      <c r="U68" s="1">
        <v>5</v>
      </c>
      <c r="V68" s="1">
        <v>4</v>
      </c>
      <c r="W68" s="1">
        <v>6</v>
      </c>
      <c r="AC68" s="1">
        <f t="shared" si="29"/>
        <v>0.33333333333333331</v>
      </c>
      <c r="AD68" s="1">
        <f t="shared" si="30"/>
        <v>0.33333333333333331</v>
      </c>
      <c r="AE68" s="1">
        <f t="shared" si="31"/>
        <v>0.3591333333333333</v>
      </c>
      <c r="AF68" s="2">
        <f t="shared" si="32"/>
        <v>0.3591333333333333</v>
      </c>
      <c r="AG68" s="2">
        <f t="shared" si="33"/>
        <v>0.54744525547445255</v>
      </c>
      <c r="AH68" s="1">
        <f t="shared" si="34"/>
        <v>0.21052631578947367</v>
      </c>
      <c r="AI68" s="2">
        <f t="shared" si="35"/>
        <v>0.26332631578947369</v>
      </c>
      <c r="AJ68" s="2">
        <f t="shared" si="36"/>
        <v>0.13868613138686131</v>
      </c>
      <c r="AK68" s="2">
        <f t="shared" si="37"/>
        <v>0.33333333333333331</v>
      </c>
      <c r="AL68" s="1">
        <f t="shared" si="38"/>
        <v>0.8</v>
      </c>
      <c r="AM68" s="2">
        <f t="shared" si="39"/>
        <v>0.41666666666666669</v>
      </c>
      <c r="AN68" s="2">
        <f t="shared" si="40"/>
        <v>0.5</v>
      </c>
      <c r="AO68" s="1">
        <f t="shared" si="41"/>
        <v>5.3333333333333337E-2</v>
      </c>
      <c r="AP68" s="5">
        <f>(AF68*Sheet2!$B$2)+(AG68*Sheet2!$B$3)+(AI68*Sheet2!$B$4)+(AJ68*Sheet2!$B$5)+(AK68*Sheet2!$B$6)+(AM68*Sheet2!$B$7)+(AN68*Sheet2!$B$8)</f>
        <v>37.53869624791907</v>
      </c>
      <c r="AQ68" s="1"/>
      <c r="AR68" s="1"/>
      <c r="AS68" s="1"/>
      <c r="AT68" s="1"/>
    </row>
    <row r="69" spans="1:46" x14ac:dyDescent="0.25">
      <c r="A69" s="4">
        <v>62</v>
      </c>
      <c r="B69" s="1" t="s">
        <v>54</v>
      </c>
      <c r="C69" s="1">
        <v>1</v>
      </c>
      <c r="D69" s="1" t="s">
        <v>182</v>
      </c>
      <c r="E69" s="1">
        <v>2</v>
      </c>
      <c r="F69" s="1" t="s">
        <v>183</v>
      </c>
      <c r="G69" s="1">
        <v>10</v>
      </c>
      <c r="H69" s="1">
        <v>3</v>
      </c>
      <c r="I69" s="1">
        <v>12</v>
      </c>
      <c r="J69" s="1">
        <v>13</v>
      </c>
      <c r="K69" s="1">
        <v>59</v>
      </c>
      <c r="L69" s="1">
        <v>56</v>
      </c>
      <c r="M69" s="1">
        <v>2</v>
      </c>
      <c r="N69" s="1">
        <v>22</v>
      </c>
      <c r="O69" s="1">
        <f t="shared" si="28"/>
        <v>24</v>
      </c>
      <c r="P69" s="1">
        <v>3</v>
      </c>
      <c r="Q69" s="1">
        <v>1</v>
      </c>
      <c r="R69" s="1">
        <v>0</v>
      </c>
      <c r="S69" s="1">
        <v>0</v>
      </c>
      <c r="T69" s="1">
        <v>0</v>
      </c>
      <c r="U69" s="1">
        <v>5</v>
      </c>
      <c r="V69" s="1">
        <v>2</v>
      </c>
      <c r="W69" s="1">
        <v>1</v>
      </c>
      <c r="AC69" s="1">
        <f t="shared" si="29"/>
        <v>0.48</v>
      </c>
      <c r="AD69" s="1">
        <f t="shared" si="30"/>
        <v>0.40820000000000001</v>
      </c>
      <c r="AE69" s="1">
        <f t="shared" si="31"/>
        <v>0.44690000000000002</v>
      </c>
      <c r="AF69" s="2">
        <f t="shared" si="32"/>
        <v>0.43240000000000001</v>
      </c>
      <c r="AG69" s="2">
        <f t="shared" si="33"/>
        <v>0.5130434782608696</v>
      </c>
      <c r="AH69" s="1">
        <f t="shared" si="34"/>
        <v>8.3333333333333329E-2</v>
      </c>
      <c r="AI69" s="2">
        <f t="shared" si="35"/>
        <v>0.10973333333333332</v>
      </c>
      <c r="AJ69" s="2">
        <f t="shared" si="36"/>
        <v>0.20869565217391303</v>
      </c>
      <c r="AK69" s="2">
        <f t="shared" si="37"/>
        <v>0.3</v>
      </c>
      <c r="AL69" s="1">
        <f t="shared" si="38"/>
        <v>0.4</v>
      </c>
      <c r="AM69" s="2">
        <f t="shared" si="39"/>
        <v>0.5</v>
      </c>
      <c r="AN69" s="2">
        <f t="shared" si="40"/>
        <v>0.1</v>
      </c>
      <c r="AO69" s="1">
        <f t="shared" si="41"/>
        <v>3.3898305084745763E-2</v>
      </c>
      <c r="AP69" s="5">
        <f>(AF69*Sheet2!$B$2)+(AG69*Sheet2!$B$3)+(AI69*Sheet2!$B$4)+(AJ69*Sheet2!$B$5)+(AK69*Sheet2!$B$6)+(AM69*Sheet2!$B$7)+(AN69*Sheet2!$B$8)</f>
        <v>37.079159420289855</v>
      </c>
      <c r="AQ69" s="1"/>
      <c r="AR69" s="1"/>
      <c r="AS69" s="1"/>
      <c r="AT69" s="1"/>
    </row>
    <row r="70" spans="1:46" x14ac:dyDescent="0.25">
      <c r="A70" s="4">
        <v>63</v>
      </c>
      <c r="B70" s="1" t="s">
        <v>54</v>
      </c>
      <c r="C70" s="1">
        <v>1</v>
      </c>
      <c r="D70" s="1" t="s">
        <v>184</v>
      </c>
      <c r="E70" s="1">
        <v>2</v>
      </c>
      <c r="F70" s="1" t="s">
        <v>185</v>
      </c>
      <c r="G70" s="1">
        <v>6</v>
      </c>
      <c r="H70" s="1">
        <v>2</v>
      </c>
      <c r="I70" s="1">
        <v>6</v>
      </c>
      <c r="J70" s="1">
        <v>7</v>
      </c>
      <c r="K70" s="1">
        <v>23</v>
      </c>
      <c r="L70" s="1">
        <v>29</v>
      </c>
      <c r="M70" s="1">
        <v>6</v>
      </c>
      <c r="N70" s="1">
        <v>10</v>
      </c>
      <c r="O70" s="1">
        <f t="shared" si="28"/>
        <v>16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3</v>
      </c>
      <c r="V70" s="1">
        <v>1</v>
      </c>
      <c r="W70" s="1">
        <v>0</v>
      </c>
      <c r="AC70" s="1">
        <f t="shared" si="29"/>
        <v>0.46153846153846156</v>
      </c>
      <c r="AD70" s="1">
        <f t="shared" si="30"/>
        <v>0.38973846153846159</v>
      </c>
      <c r="AE70" s="1">
        <f t="shared" si="31"/>
        <v>0.41553846153846158</v>
      </c>
      <c r="AF70" s="2">
        <f t="shared" si="32"/>
        <v>0.40103846153846157</v>
      </c>
      <c r="AG70" s="2">
        <f t="shared" si="33"/>
        <v>0.44230769230769229</v>
      </c>
      <c r="AH70" s="1">
        <f t="shared" si="34"/>
        <v>0.375</v>
      </c>
      <c r="AI70" s="2">
        <f t="shared" si="35"/>
        <v>0.45419999999999999</v>
      </c>
      <c r="AJ70" s="2">
        <f t="shared" si="36"/>
        <v>0.30769230769230771</v>
      </c>
      <c r="AK70" s="2">
        <f t="shared" si="37"/>
        <v>0</v>
      </c>
      <c r="AL70" s="1">
        <f t="shared" si="38"/>
        <v>0.33333333333333331</v>
      </c>
      <c r="AM70" s="2">
        <f t="shared" si="39"/>
        <v>0.5</v>
      </c>
      <c r="AN70" s="2">
        <f t="shared" si="40"/>
        <v>0</v>
      </c>
      <c r="AO70" s="1">
        <f t="shared" si="41"/>
        <v>0.2608695652173913</v>
      </c>
      <c r="AP70" s="5">
        <f>(AF70*Sheet2!$B$2)+(AG70*Sheet2!$B$3)+(AI70*Sheet2!$B$4)+(AJ70*Sheet2!$B$5)+(AK70*Sheet2!$B$6)+(AM70*Sheet2!$B$7)+(AN70*Sheet2!$B$8)</f>
        <v>35.501423076923075</v>
      </c>
      <c r="AQ70" s="1"/>
      <c r="AR70" s="1"/>
      <c r="AS70" s="1"/>
      <c r="AT70" s="1"/>
    </row>
    <row r="71" spans="1:46" x14ac:dyDescent="0.25">
      <c r="A71" s="4">
        <v>64</v>
      </c>
      <c r="B71" s="1" t="s">
        <v>54</v>
      </c>
      <c r="C71" s="1">
        <v>1</v>
      </c>
      <c r="D71" s="1" t="s">
        <v>186</v>
      </c>
      <c r="E71" s="1">
        <v>3</v>
      </c>
      <c r="F71" s="1" t="s">
        <v>187</v>
      </c>
      <c r="G71" s="1">
        <v>8</v>
      </c>
      <c r="H71" s="1">
        <v>2</v>
      </c>
      <c r="I71" s="1">
        <v>5</v>
      </c>
      <c r="J71" s="1">
        <v>7</v>
      </c>
      <c r="K71" s="1">
        <v>39</v>
      </c>
      <c r="L71" s="1">
        <v>42</v>
      </c>
      <c r="M71" s="1">
        <v>4</v>
      </c>
      <c r="N71" s="1">
        <v>14</v>
      </c>
      <c r="O71" s="1">
        <f t="shared" si="28"/>
        <v>18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3</v>
      </c>
      <c r="V71" s="1">
        <v>1</v>
      </c>
      <c r="W71" s="1">
        <v>1</v>
      </c>
      <c r="AC71" s="1">
        <f t="shared" si="29"/>
        <v>0.41666666666666669</v>
      </c>
      <c r="AD71" s="1">
        <f t="shared" si="30"/>
        <v>0.41666666666666669</v>
      </c>
      <c r="AE71" s="1">
        <f t="shared" si="31"/>
        <v>0.44246666666666667</v>
      </c>
      <c r="AF71" s="2">
        <f t="shared" si="32"/>
        <v>0.42796666666666666</v>
      </c>
      <c r="AG71" s="2">
        <f t="shared" si="33"/>
        <v>0.48148148148148145</v>
      </c>
      <c r="AH71" s="1">
        <f t="shared" si="34"/>
        <v>0.22222222222222221</v>
      </c>
      <c r="AI71" s="2">
        <f t="shared" si="35"/>
        <v>0.27502222222222222</v>
      </c>
      <c r="AJ71" s="2">
        <f t="shared" si="36"/>
        <v>0.22222222222222221</v>
      </c>
      <c r="AK71" s="2">
        <f t="shared" si="37"/>
        <v>0</v>
      </c>
      <c r="AL71" s="1">
        <f t="shared" si="38"/>
        <v>0.33333333333333331</v>
      </c>
      <c r="AM71" s="2">
        <f t="shared" si="39"/>
        <v>0.375</v>
      </c>
      <c r="AN71" s="2">
        <f t="shared" si="40"/>
        <v>0.125</v>
      </c>
      <c r="AO71" s="1">
        <f t="shared" si="41"/>
        <v>0.10256410256410256</v>
      </c>
      <c r="AP71" s="5">
        <f>(AF71*Sheet2!$B$2)+(AG71*Sheet2!$B$3)+(AI71*Sheet2!$B$4)+(AJ71*Sheet2!$B$5)+(AK71*Sheet2!$B$6)+(AM71*Sheet2!$B$7)+(AN71*Sheet2!$B$8)</f>
        <v>33.955907407407409</v>
      </c>
      <c r="AQ71" s="1"/>
      <c r="AR71" s="1"/>
      <c r="AS71" s="1"/>
      <c r="AT71" s="1"/>
    </row>
    <row r="72" spans="1:46" x14ac:dyDescent="0.25">
      <c r="A72" s="4">
        <v>65</v>
      </c>
      <c r="B72" s="1" t="s">
        <v>51</v>
      </c>
      <c r="C72" s="1">
        <v>2</v>
      </c>
      <c r="D72" s="1" t="s">
        <v>188</v>
      </c>
      <c r="E72" s="1">
        <v>3</v>
      </c>
      <c r="F72" s="1" t="s">
        <v>189</v>
      </c>
      <c r="G72" s="1">
        <v>13</v>
      </c>
      <c r="H72" s="1">
        <v>3</v>
      </c>
      <c r="I72" s="1">
        <v>8</v>
      </c>
      <c r="J72" s="1">
        <v>16</v>
      </c>
      <c r="K72" s="1">
        <v>84</v>
      </c>
      <c r="L72" s="1">
        <v>64</v>
      </c>
      <c r="M72" s="1">
        <v>2</v>
      </c>
      <c r="N72" s="1">
        <v>15</v>
      </c>
      <c r="O72" s="1">
        <f t="shared" si="28"/>
        <v>17</v>
      </c>
      <c r="P72" s="1">
        <v>3</v>
      </c>
      <c r="Q72" s="1">
        <v>3</v>
      </c>
      <c r="R72" s="1">
        <v>0</v>
      </c>
      <c r="S72" s="1">
        <v>0</v>
      </c>
      <c r="T72" s="1">
        <v>0</v>
      </c>
      <c r="U72" s="1">
        <v>5</v>
      </c>
      <c r="V72" s="1">
        <v>4</v>
      </c>
      <c r="W72" s="1">
        <v>2</v>
      </c>
      <c r="AC72" s="1">
        <f t="shared" si="29"/>
        <v>0.33333333333333331</v>
      </c>
      <c r="AD72" s="1">
        <f t="shared" si="30"/>
        <v>0.33333333333333331</v>
      </c>
      <c r="AE72" s="1">
        <f t="shared" si="31"/>
        <v>0.37203333333333333</v>
      </c>
      <c r="AF72" s="2">
        <f t="shared" si="32"/>
        <v>0.37203333333333333</v>
      </c>
      <c r="AG72" s="2">
        <f t="shared" si="33"/>
        <v>0.56756756756756754</v>
      </c>
      <c r="AH72" s="1">
        <f t="shared" si="34"/>
        <v>0.11764705882352941</v>
      </c>
      <c r="AI72" s="2">
        <f t="shared" si="35"/>
        <v>0.14404705882352942</v>
      </c>
      <c r="AJ72" s="2">
        <f t="shared" si="36"/>
        <v>0.11486486486486487</v>
      </c>
      <c r="AK72" s="2">
        <f t="shared" si="37"/>
        <v>0.23076923076923078</v>
      </c>
      <c r="AL72" s="1">
        <f t="shared" si="38"/>
        <v>0.8</v>
      </c>
      <c r="AM72" s="2">
        <f t="shared" si="39"/>
        <v>0.38461538461538464</v>
      </c>
      <c r="AN72" s="2">
        <f t="shared" si="40"/>
        <v>0.15384615384615385</v>
      </c>
      <c r="AO72" s="1">
        <f t="shared" si="41"/>
        <v>2.3809523809523808E-2</v>
      </c>
      <c r="AP72" s="5">
        <f>(AF72*Sheet2!$B$2)+(AG72*Sheet2!$B$3)+(AI72*Sheet2!$B$4)+(AJ72*Sheet2!$B$5)+(AK72*Sheet2!$B$6)+(AM72*Sheet2!$B$7)+(AN72*Sheet2!$B$8)</f>
        <v>33.884714177978879</v>
      </c>
      <c r="AQ72" s="1"/>
      <c r="AR72" s="1"/>
      <c r="AS72" s="1"/>
      <c r="AT72" s="1"/>
    </row>
    <row r="73" spans="1:46" x14ac:dyDescent="0.25">
      <c r="A73" s="4">
        <v>66</v>
      </c>
      <c r="B73" s="1" t="s">
        <v>54</v>
      </c>
      <c r="C73" s="1">
        <v>1</v>
      </c>
      <c r="D73" s="1" t="s">
        <v>190</v>
      </c>
      <c r="E73" s="1">
        <v>3</v>
      </c>
      <c r="F73" s="1" t="s">
        <v>191</v>
      </c>
      <c r="G73" s="1">
        <v>11</v>
      </c>
      <c r="H73" s="1">
        <v>7</v>
      </c>
      <c r="I73" s="1">
        <v>33</v>
      </c>
      <c r="J73" s="1">
        <v>41</v>
      </c>
      <c r="K73" s="1">
        <v>35</v>
      </c>
      <c r="L73" s="1">
        <v>67</v>
      </c>
      <c r="M73" s="1">
        <v>2</v>
      </c>
      <c r="N73" s="1">
        <v>28</v>
      </c>
      <c r="O73" s="1">
        <f t="shared" si="28"/>
        <v>30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3</v>
      </c>
      <c r="V73" s="1">
        <v>3</v>
      </c>
      <c r="W73" s="1">
        <v>1</v>
      </c>
      <c r="AC73" s="1">
        <f t="shared" si="29"/>
        <v>0.44594594594594594</v>
      </c>
      <c r="AD73" s="1">
        <f t="shared" si="30"/>
        <v>0.44594594594594594</v>
      </c>
      <c r="AE73" s="1">
        <f t="shared" si="31"/>
        <v>0.53624594594594599</v>
      </c>
      <c r="AF73" s="2">
        <f t="shared" si="32"/>
        <v>0.52174594594594603</v>
      </c>
      <c r="AG73" s="2">
        <f t="shared" si="33"/>
        <v>0.34313725490196079</v>
      </c>
      <c r="AH73" s="1">
        <f t="shared" si="34"/>
        <v>6.6666666666666666E-2</v>
      </c>
      <c r="AI73" s="2">
        <f t="shared" si="35"/>
        <v>9.3066666666666659E-2</v>
      </c>
      <c r="AJ73" s="2">
        <f t="shared" si="36"/>
        <v>0.29411764705882354</v>
      </c>
      <c r="AK73" s="2">
        <f t="shared" si="37"/>
        <v>0</v>
      </c>
      <c r="AL73" s="1">
        <f t="shared" si="38"/>
        <v>1</v>
      </c>
      <c r="AM73" s="2">
        <f t="shared" si="39"/>
        <v>0.27272727272727271</v>
      </c>
      <c r="AN73" s="2">
        <f t="shared" si="40"/>
        <v>9.0909090909090912E-2</v>
      </c>
      <c r="AO73" s="1">
        <f t="shared" si="41"/>
        <v>5.7142857142857141E-2</v>
      </c>
      <c r="AP73" s="5">
        <f>(AF73*Sheet2!$B$2)+(AG73*Sheet2!$B$3)+(AI73*Sheet2!$B$4)+(AJ73*Sheet2!$B$5)+(AK73*Sheet2!$B$6)+(AM73*Sheet2!$B$7)+(AN73*Sheet2!$B$8)</f>
        <v>32.17751452522041</v>
      </c>
      <c r="AQ73" s="1"/>
      <c r="AR73" s="1"/>
      <c r="AS73" s="1"/>
      <c r="AT73" s="1"/>
    </row>
    <row r="74" spans="1:46" x14ac:dyDescent="0.25">
      <c r="A74" s="4">
        <v>67</v>
      </c>
      <c r="B74" s="1" t="s">
        <v>59</v>
      </c>
      <c r="C74" s="1">
        <v>1</v>
      </c>
      <c r="D74" s="1" t="s">
        <v>192</v>
      </c>
      <c r="E74" s="1">
        <v>4</v>
      </c>
      <c r="F74" s="1" t="s">
        <v>193</v>
      </c>
      <c r="G74" s="1">
        <v>5</v>
      </c>
      <c r="H74" s="1">
        <v>5</v>
      </c>
      <c r="I74" s="1">
        <v>16</v>
      </c>
      <c r="J74" s="1">
        <v>33</v>
      </c>
      <c r="K74" s="1">
        <v>16</v>
      </c>
      <c r="L74" s="1">
        <v>33</v>
      </c>
      <c r="M74" s="1">
        <v>2</v>
      </c>
      <c r="N74" s="1">
        <v>14</v>
      </c>
      <c r="O74" s="1">
        <f t="shared" si="28"/>
        <v>16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1</v>
      </c>
      <c r="W74" s="1">
        <v>1</v>
      </c>
      <c r="AC74" s="1">
        <f t="shared" si="29"/>
        <v>0.32653061224489793</v>
      </c>
      <c r="AD74" s="1">
        <f t="shared" si="30"/>
        <v>0.39833061224489796</v>
      </c>
      <c r="AE74" s="1">
        <f t="shared" si="31"/>
        <v>0.46283061224489797</v>
      </c>
      <c r="AF74" s="2">
        <f t="shared" si="32"/>
        <v>0.44833061224489795</v>
      </c>
      <c r="AG74" s="2">
        <f t="shared" si="33"/>
        <v>0.32653061224489793</v>
      </c>
      <c r="AH74" s="1">
        <f t="shared" si="34"/>
        <v>0.125</v>
      </c>
      <c r="AI74" s="2">
        <f t="shared" si="35"/>
        <v>0.15140000000000001</v>
      </c>
      <c r="AJ74" s="2">
        <f t="shared" si="36"/>
        <v>0.32653061224489793</v>
      </c>
      <c r="AK74" s="2">
        <f t="shared" si="37"/>
        <v>0</v>
      </c>
      <c r="AL74" s="1">
        <f t="shared" si="38"/>
        <v>1</v>
      </c>
      <c r="AM74" s="2">
        <f t="shared" si="39"/>
        <v>0.2</v>
      </c>
      <c r="AN74" s="2">
        <f t="shared" si="40"/>
        <v>0.2</v>
      </c>
      <c r="AO74" s="1">
        <f t="shared" si="41"/>
        <v>0.125</v>
      </c>
      <c r="AP74" s="5">
        <f>(AF74*Sheet2!$B$2)+(AG74*Sheet2!$B$3)+(AI74*Sheet2!$B$4)+(AJ74*Sheet2!$B$5)+(AK74*Sheet2!$B$6)+(AM74*Sheet2!$B$7)+(AN74*Sheet2!$B$8)</f>
        <v>30.001489795918367</v>
      </c>
      <c r="AQ74" s="1"/>
      <c r="AR74" s="1"/>
      <c r="AS74" s="1"/>
      <c r="AT74" s="1"/>
    </row>
    <row r="75" spans="1:46" x14ac:dyDescent="0.25">
      <c r="A75" s="4">
        <v>68</v>
      </c>
      <c r="B75" s="1" t="s">
        <v>41</v>
      </c>
      <c r="C75" s="1">
        <v>2</v>
      </c>
      <c r="D75" s="1" t="s">
        <v>194</v>
      </c>
      <c r="E75" s="1">
        <v>4</v>
      </c>
      <c r="F75" s="1" t="s">
        <v>195</v>
      </c>
      <c r="G75" s="1">
        <v>4</v>
      </c>
      <c r="H75" s="1">
        <v>4</v>
      </c>
      <c r="I75" s="1">
        <v>11</v>
      </c>
      <c r="J75" s="1">
        <v>23</v>
      </c>
      <c r="K75" s="1">
        <v>11</v>
      </c>
      <c r="L75" s="1">
        <v>23</v>
      </c>
      <c r="M75" s="1">
        <v>2</v>
      </c>
      <c r="N75" s="1">
        <v>6</v>
      </c>
      <c r="O75" s="1">
        <f t="shared" si="28"/>
        <v>8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AC75" s="1">
        <f t="shared" si="29"/>
        <v>0.3235294117647059</v>
      </c>
      <c r="AD75" s="1">
        <f t="shared" si="30"/>
        <v>0.39532941176470593</v>
      </c>
      <c r="AE75" s="1">
        <f t="shared" si="31"/>
        <v>0.44692941176470591</v>
      </c>
      <c r="AF75" s="2">
        <f t="shared" si="32"/>
        <v>0.44692941176470591</v>
      </c>
      <c r="AG75" s="2">
        <f t="shared" si="33"/>
        <v>0.3235294117647059</v>
      </c>
      <c r="AH75" s="1">
        <f t="shared" si="34"/>
        <v>0.25</v>
      </c>
      <c r="AI75" s="2">
        <f t="shared" si="35"/>
        <v>0.27639999999999998</v>
      </c>
      <c r="AJ75" s="2">
        <f t="shared" si="36"/>
        <v>0.23529411764705882</v>
      </c>
      <c r="AK75" s="2">
        <f t="shared" si="37"/>
        <v>0</v>
      </c>
      <c r="AL75" s="1" t="e">
        <f t="shared" si="38"/>
        <v>#DIV/0!</v>
      </c>
      <c r="AM75" s="2">
        <f t="shared" si="39"/>
        <v>0</v>
      </c>
      <c r="AN75" s="2">
        <f t="shared" si="40"/>
        <v>0</v>
      </c>
      <c r="AO75" s="1">
        <f t="shared" si="41"/>
        <v>0.18181818181818182</v>
      </c>
      <c r="AP75" s="5">
        <f>(AF75*Sheet2!$B$2)+(AG75*Sheet2!$B$3)+(AI75*Sheet2!$B$4)+(AJ75*Sheet2!$B$5)+(AK75*Sheet2!$B$6)+(AM75*Sheet2!$B$7)+(AN75*Sheet2!$B$8)</f>
        <v>27.230058823529411</v>
      </c>
      <c r="AQ75" s="1"/>
      <c r="AR75" s="1"/>
      <c r="AS75" s="1"/>
      <c r="AT75" s="1"/>
    </row>
    <row r="76" spans="1:46" x14ac:dyDescent="0.25">
      <c r="A76" s="4">
        <v>69</v>
      </c>
      <c r="B76" s="1" t="s">
        <v>51</v>
      </c>
      <c r="C76" s="1">
        <v>2</v>
      </c>
      <c r="D76" s="1" t="s">
        <v>196</v>
      </c>
      <c r="E76" s="1">
        <v>3</v>
      </c>
      <c r="F76" s="1" t="s">
        <v>197</v>
      </c>
      <c r="G76" s="1">
        <v>9</v>
      </c>
      <c r="H76" s="1">
        <v>2</v>
      </c>
      <c r="I76" s="1">
        <v>4</v>
      </c>
      <c r="J76" s="1">
        <v>8</v>
      </c>
      <c r="K76" s="1">
        <v>38</v>
      </c>
      <c r="L76" s="1">
        <v>56</v>
      </c>
      <c r="M76" s="1">
        <v>0</v>
      </c>
      <c r="N76" s="1">
        <v>10</v>
      </c>
      <c r="O76" s="1">
        <f t="shared" si="28"/>
        <v>10</v>
      </c>
      <c r="P76" s="1">
        <v>1</v>
      </c>
      <c r="Q76" s="1">
        <v>1</v>
      </c>
      <c r="R76" s="1">
        <v>0</v>
      </c>
      <c r="S76" s="1">
        <v>0</v>
      </c>
      <c r="T76" s="1">
        <v>0</v>
      </c>
      <c r="U76" s="1">
        <v>3</v>
      </c>
      <c r="V76" s="1">
        <v>0</v>
      </c>
      <c r="W76" s="1">
        <v>1</v>
      </c>
      <c r="AC76" s="1">
        <f t="shared" si="29"/>
        <v>0.33333333333333331</v>
      </c>
      <c r="AD76" s="1">
        <f t="shared" si="30"/>
        <v>0.33333333333333331</v>
      </c>
      <c r="AE76" s="1">
        <f t="shared" si="31"/>
        <v>0.3591333333333333</v>
      </c>
      <c r="AF76" s="2">
        <f t="shared" si="32"/>
        <v>0.3591333333333333</v>
      </c>
      <c r="AG76" s="2">
        <f t="shared" si="33"/>
        <v>0.40425531914893614</v>
      </c>
      <c r="AH76" s="1">
        <f t="shared" si="34"/>
        <v>0</v>
      </c>
      <c r="AI76" s="2">
        <f t="shared" si="35"/>
        <v>0</v>
      </c>
      <c r="AJ76" s="2">
        <f t="shared" si="36"/>
        <v>0.10638297872340426</v>
      </c>
      <c r="AK76" s="2">
        <f t="shared" si="37"/>
        <v>0.1111111111111111</v>
      </c>
      <c r="AL76" s="1">
        <f t="shared" si="38"/>
        <v>0</v>
      </c>
      <c r="AM76" s="2">
        <f t="shared" si="39"/>
        <v>0.33333333333333331</v>
      </c>
      <c r="AN76" s="2">
        <f t="shared" si="40"/>
        <v>0.1111111111111111</v>
      </c>
      <c r="AO76" s="1">
        <f t="shared" si="41"/>
        <v>0</v>
      </c>
      <c r="AP76" s="5">
        <f>(AF76*Sheet2!$B$2)+(AG76*Sheet2!$B$3)+(AI76*Sheet2!$B$4)+(AJ76*Sheet2!$B$5)+(AK76*Sheet2!$B$6)+(AM76*Sheet2!$B$7)+(AN76*Sheet2!$B$8)</f>
        <v>26.71860283687943</v>
      </c>
      <c r="AQ76" s="1"/>
      <c r="AR76" s="1"/>
      <c r="AS76" s="1"/>
      <c r="AT76" s="1"/>
    </row>
    <row r="77" spans="1:46" x14ac:dyDescent="0.25">
      <c r="A77" s="4">
        <v>70</v>
      </c>
      <c r="B77" s="1" t="s">
        <v>54</v>
      </c>
      <c r="C77" s="1">
        <v>1</v>
      </c>
      <c r="D77" s="1" t="s">
        <v>198</v>
      </c>
      <c r="E77" s="1">
        <v>3</v>
      </c>
      <c r="F77" s="1" t="s">
        <v>199</v>
      </c>
      <c r="G77" s="1">
        <v>2</v>
      </c>
      <c r="H77" s="1">
        <v>2</v>
      </c>
      <c r="I77" s="1">
        <v>5</v>
      </c>
      <c r="J77" s="1">
        <v>7</v>
      </c>
      <c r="K77" s="1">
        <v>5</v>
      </c>
      <c r="L77" s="1">
        <v>7</v>
      </c>
      <c r="M77" s="1">
        <v>0</v>
      </c>
      <c r="N77" s="1">
        <v>3</v>
      </c>
      <c r="O77" s="1">
        <f t="shared" si="28"/>
        <v>3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AC77" s="1">
        <f t="shared" si="29"/>
        <v>0.41666666666666669</v>
      </c>
      <c r="AD77" s="1">
        <f t="shared" si="30"/>
        <v>0.41666666666666669</v>
      </c>
      <c r="AE77" s="1">
        <f t="shared" si="31"/>
        <v>0.44246666666666667</v>
      </c>
      <c r="AF77" s="2">
        <f t="shared" si="32"/>
        <v>0.42796666666666666</v>
      </c>
      <c r="AG77" s="2">
        <f t="shared" si="33"/>
        <v>0.41666666666666669</v>
      </c>
      <c r="AH77" s="1">
        <f t="shared" si="34"/>
        <v>0</v>
      </c>
      <c r="AI77" s="2">
        <f t="shared" si="35"/>
        <v>0</v>
      </c>
      <c r="AJ77" s="2">
        <f t="shared" si="36"/>
        <v>0.25</v>
      </c>
      <c r="AK77" s="2">
        <f t="shared" si="37"/>
        <v>0</v>
      </c>
      <c r="AL77" s="1" t="e">
        <f t="shared" si="38"/>
        <v>#DIV/0!</v>
      </c>
      <c r="AM77" s="2">
        <f t="shared" si="39"/>
        <v>0</v>
      </c>
      <c r="AN77" s="2">
        <f t="shared" si="40"/>
        <v>0</v>
      </c>
      <c r="AO77" s="1">
        <f t="shared" si="41"/>
        <v>0</v>
      </c>
      <c r="AP77" s="5">
        <f>(AF77*Sheet2!$B$2)+(AG77*Sheet2!$B$3)+(AI77*Sheet2!$B$4)+(AJ77*Sheet2!$B$5)+(AK77*Sheet2!$B$6)+(AM77*Sheet2!$B$7)+(AN77*Sheet2!$B$8)</f>
        <v>25.812166666666666</v>
      </c>
      <c r="AQ77" s="1"/>
      <c r="AR77" s="1"/>
      <c r="AS77" s="1"/>
      <c r="AT77" s="1"/>
    </row>
    <row r="78" spans="1:46" x14ac:dyDescent="0.25">
      <c r="A78" s="4">
        <v>71</v>
      </c>
      <c r="B78" s="1" t="s">
        <v>44</v>
      </c>
      <c r="C78" s="1">
        <v>3</v>
      </c>
      <c r="D78" s="1" t="s">
        <v>200</v>
      </c>
      <c r="E78" s="1">
        <v>4</v>
      </c>
      <c r="F78" s="1" t="s">
        <v>201</v>
      </c>
      <c r="G78" s="1">
        <v>7</v>
      </c>
      <c r="H78" s="1">
        <v>2</v>
      </c>
      <c r="I78" s="1">
        <v>3</v>
      </c>
      <c r="J78" s="1">
        <v>9</v>
      </c>
      <c r="K78" s="1">
        <v>23</v>
      </c>
      <c r="L78" s="1">
        <v>49</v>
      </c>
      <c r="M78" s="1">
        <v>0</v>
      </c>
      <c r="N78" s="1">
        <v>8</v>
      </c>
      <c r="O78" s="1">
        <f t="shared" si="28"/>
        <v>8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AC78" s="1">
        <f t="shared" si="29"/>
        <v>0.25</v>
      </c>
      <c r="AD78" s="1">
        <f t="shared" si="30"/>
        <v>0.32179999999999997</v>
      </c>
      <c r="AE78" s="1">
        <f t="shared" si="31"/>
        <v>0.34759999999999996</v>
      </c>
      <c r="AF78" s="2">
        <f t="shared" si="32"/>
        <v>0.36209999999999998</v>
      </c>
      <c r="AG78" s="2">
        <f t="shared" si="33"/>
        <v>0.31944444444444442</v>
      </c>
      <c r="AH78" s="1">
        <f t="shared" si="34"/>
        <v>0</v>
      </c>
      <c r="AI78" s="2">
        <f t="shared" si="35"/>
        <v>0</v>
      </c>
      <c r="AJ78" s="2">
        <f t="shared" si="36"/>
        <v>0.1111111111111111</v>
      </c>
      <c r="AK78" s="2">
        <f t="shared" si="37"/>
        <v>0</v>
      </c>
      <c r="AL78" s="1" t="e">
        <f t="shared" si="38"/>
        <v>#DIV/0!</v>
      </c>
      <c r="AM78" s="2">
        <f t="shared" si="39"/>
        <v>0</v>
      </c>
      <c r="AN78" s="2">
        <f t="shared" si="40"/>
        <v>0.14285714285714285</v>
      </c>
      <c r="AO78" s="1">
        <f t="shared" si="41"/>
        <v>0</v>
      </c>
      <c r="AP78" s="5">
        <f>(AF78*Sheet2!$B$2)+(AG78*Sheet2!$B$3)+(AI78*Sheet2!$B$4)+(AJ78*Sheet2!$B$5)+(AK78*Sheet2!$B$6)+(AM78*Sheet2!$B$7)+(AN78*Sheet2!$B$8)</f>
        <v>20.887785714285712</v>
      </c>
      <c r="AQ78" s="1"/>
      <c r="AR78" s="1"/>
      <c r="AS78" s="1"/>
      <c r="AT78" s="1"/>
    </row>
    <row r="79" spans="1:46" s="14" customFormat="1" x14ac:dyDescent="0.25">
      <c r="A79" s="10">
        <v>72</v>
      </c>
      <c r="B79" s="11" t="s">
        <v>59</v>
      </c>
      <c r="C79" s="11">
        <v>1</v>
      </c>
      <c r="D79" s="11" t="s">
        <v>202</v>
      </c>
      <c r="E79" s="11">
        <v>4</v>
      </c>
      <c r="F79" s="11" t="s">
        <v>203</v>
      </c>
      <c r="G79" s="11">
        <v>2</v>
      </c>
      <c r="H79" s="11">
        <v>2</v>
      </c>
      <c r="I79" s="11">
        <v>2</v>
      </c>
      <c r="J79" s="11">
        <v>10</v>
      </c>
      <c r="K79" s="11">
        <v>2</v>
      </c>
      <c r="L79" s="11">
        <v>10</v>
      </c>
      <c r="M79" s="11">
        <v>0</v>
      </c>
      <c r="N79" s="11">
        <v>6</v>
      </c>
      <c r="O79" s="11">
        <f t="shared" si="28"/>
        <v>6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/>
      <c r="Y79" s="11"/>
      <c r="Z79" s="11"/>
      <c r="AA79" s="11"/>
      <c r="AB79" s="11"/>
      <c r="AC79" s="11">
        <f t="shared" si="29"/>
        <v>0.16666666666666666</v>
      </c>
      <c r="AD79" s="11">
        <f t="shared" si="30"/>
        <v>0.23846666666666666</v>
      </c>
      <c r="AE79" s="11">
        <f t="shared" si="31"/>
        <v>0.26426666666666665</v>
      </c>
      <c r="AF79" s="12">
        <f t="shared" si="32"/>
        <v>0.24976666666666664</v>
      </c>
      <c r="AG79" s="12">
        <f t="shared" si="33"/>
        <v>0.16666666666666666</v>
      </c>
      <c r="AH79" s="11">
        <f t="shared" si="34"/>
        <v>0</v>
      </c>
      <c r="AI79" s="12">
        <f t="shared" si="35"/>
        <v>0</v>
      </c>
      <c r="AJ79" s="12">
        <f t="shared" si="36"/>
        <v>0.5</v>
      </c>
      <c r="AK79" s="12">
        <f t="shared" si="37"/>
        <v>0</v>
      </c>
      <c r="AL79" s="11" t="e">
        <f t="shared" si="38"/>
        <v>#DIV/0!</v>
      </c>
      <c r="AM79" s="12">
        <f t="shared" si="39"/>
        <v>0</v>
      </c>
      <c r="AN79" s="12">
        <f t="shared" si="40"/>
        <v>0</v>
      </c>
      <c r="AO79" s="11">
        <f t="shared" si="41"/>
        <v>0</v>
      </c>
      <c r="AP79" s="13">
        <f>(AF79*Sheet2!$B$2)+(AG79*Sheet2!$B$3)+(AI79*Sheet2!$B$4)+(AJ79*Sheet2!$B$5)+(AK79*Sheet2!$B$6)+(AM79*Sheet2!$B$7)+(AN79*Sheet2!$B$8)</f>
        <v>17.075166666666664</v>
      </c>
      <c r="AQ79" s="11"/>
      <c r="AR79" s="11"/>
      <c r="AS79" s="11"/>
      <c r="AT79" s="11"/>
    </row>
  </sheetData>
  <autoFilter ref="B1:AP79" xr:uid="{01B37436-0435-48A3-99B1-49B17EAEDFD8}">
    <sortState xmlns:xlrd2="http://schemas.microsoft.com/office/spreadsheetml/2017/richdata2" ref="B2:AP79">
      <sortCondition descending="1" ref="AP1:AP79"/>
    </sortState>
  </autoFilter>
  <phoneticPr fontId="3" type="noConversion"/>
  <hyperlinks>
    <hyperlink ref="AU18" r:id="rId1" location="2447212" xr:uid="{4E64B9BD-713E-4862-8F0A-7A1107F0D7C3}"/>
    <hyperlink ref="AU19" r:id="rId2" xr:uid="{7B7A8401-1F11-4E91-A3A9-013AD1EAD21D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734E-8761-41AF-AD83-25EB85DAB94D}">
  <dimension ref="A1:B9"/>
  <sheetViews>
    <sheetView workbookViewId="0">
      <selection activeCell="B8" sqref="B8"/>
    </sheetView>
  </sheetViews>
  <sheetFormatPr defaultColWidth="8.85546875" defaultRowHeight="15" x14ac:dyDescent="0.25"/>
  <cols>
    <col min="1" max="1" width="38.85546875" bestFit="1" customWidth="1"/>
  </cols>
  <sheetData>
    <row r="1" spans="1:2" x14ac:dyDescent="0.25">
      <c r="A1" s="4" t="s">
        <v>204</v>
      </c>
      <c r="B1" s="4" t="s">
        <v>205</v>
      </c>
    </row>
    <row r="2" spans="1:2" x14ac:dyDescent="0.25">
      <c r="A2" t="s">
        <v>29</v>
      </c>
      <c r="B2">
        <v>35</v>
      </c>
    </row>
    <row r="3" spans="1:2" x14ac:dyDescent="0.25">
      <c r="A3" t="s">
        <v>30</v>
      </c>
      <c r="B3">
        <v>20</v>
      </c>
    </row>
    <row r="4" spans="1:2" x14ac:dyDescent="0.25">
      <c r="A4" t="s">
        <v>206</v>
      </c>
      <c r="B4">
        <v>10</v>
      </c>
    </row>
    <row r="5" spans="1:2" x14ac:dyDescent="0.25">
      <c r="A5" t="s">
        <v>33</v>
      </c>
      <c r="B5">
        <v>10</v>
      </c>
    </row>
    <row r="6" spans="1:2" x14ac:dyDescent="0.25">
      <c r="A6" t="s">
        <v>34</v>
      </c>
      <c r="B6">
        <v>10</v>
      </c>
    </row>
    <row r="7" spans="1:2" x14ac:dyDescent="0.25">
      <c r="A7" t="s">
        <v>36</v>
      </c>
      <c r="B7">
        <v>10</v>
      </c>
    </row>
    <row r="8" spans="1:2" x14ac:dyDescent="0.25">
      <c r="A8" t="s">
        <v>37</v>
      </c>
      <c r="B8">
        <v>5</v>
      </c>
    </row>
    <row r="9" spans="1:2" x14ac:dyDescent="0.25">
      <c r="A9" t="s">
        <v>207</v>
      </c>
      <c r="B9" s="4">
        <f>SUM(B2:B8)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Shahed Shirazi</dc:creator>
  <cp:keywords/>
  <dc:description/>
  <cp:lastModifiedBy>Shahed Shirazi</cp:lastModifiedBy>
  <cp:revision/>
  <dcterms:created xsi:type="dcterms:W3CDTF">2025-06-03T01:46:28Z</dcterms:created>
  <dcterms:modified xsi:type="dcterms:W3CDTF">2025-12-05T00:06:56Z</dcterms:modified>
  <cp:category/>
  <cp:contentStatus/>
</cp:coreProperties>
</file>